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drawings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01c087be5b4e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ашборд" sheetId="1" r:id="Rb8cbc1ae01a044bd"/>
    <x:sheet xmlns:r="http://schemas.openxmlformats.org/officeDocument/2006/relationships" name="Предпосылки" sheetId="2" r:id="Racdbe9a469b64cab"/>
    <x:sheet xmlns:r="http://schemas.openxmlformats.org/officeDocument/2006/relationships" name="Модель спроса" sheetId="3" r:id="R657bb00823354b2f"/>
    <x:sheet xmlns:r="http://schemas.openxmlformats.org/officeDocument/2006/relationships" name="Баланс предложения" sheetId="4" r:id="Rbb49ac38823a4ef6"/>
    <x:sheet xmlns:r="http://schemas.openxmlformats.org/officeDocument/2006/relationships" name="Ипотека" sheetId="5" r:id="Rc062b59c3bfa4a24"/>
    <x:sheet xmlns:r="http://schemas.openxmlformats.org/officeDocument/2006/relationships" name="Регионы" sheetId="6" r:id="Rcc22c72991254041"/>
    <x:sheet xmlns:r="http://schemas.openxmlformats.org/officeDocument/2006/relationships" name="Чувствительность" sheetId="7" r:id="R969b435ed3e54855"/>
    <x:sheet xmlns:r="http://schemas.openxmlformats.org/officeDocument/2006/relationships" name="Backtest" sheetId="8" r:id="R72869d5c35664cd8"/>
    <x:sheet xmlns:r="http://schemas.openxmlformats.org/officeDocument/2006/relationships" name="Аудит и KPI" sheetId="9" r:id="R6866453c871e4b5d"/>
    <x:sheet xmlns:r="http://schemas.openxmlformats.org/officeDocument/2006/relationships" name="Источники" sheetId="10" r:id="R757e30d358724ac2"/>
    <x:sheet xmlns:r="http://schemas.openxmlformats.org/officeDocument/2006/relationships" name="ReadMe" sheetId="11" r:id="R263b79a81682474d"/>
  </x:sheets>
</x:workbook>
</file>

<file path=xl/sharedStrings.xml><?xml version="1.0" encoding="utf-8"?>
<x:sst xmlns:x="http://schemas.openxmlformats.org/spreadsheetml/2006/main">
  <x:si>
    <x:t xml:space="preserve">Рынок новостроек РФ: экономически реализуемый спрос до 2035 года</x:t>
  </x:si>
  <x:si>
    <x:t xml:space="preserve">Выбранный сценарий</x:t>
  </x:si>
  <x:si>
    <x:t xml:space="preserve">Спрос 2026, млн м²</x:t>
  </x:si>
  <x:si>
    <x:t xml:space="preserve">Спрос 2030, млн м²</x:t>
  </x:si>
  <x:si>
    <x:t xml:space="preserve">Спрос 2035, млн м²</x:t>
  </x:si>
  <x:si>
    <x:t xml:space="preserve">Покупатели 2035, тыс.</x:t>
  </x:si>
  <x:si>
    <x:t xml:space="preserve">Стратегический вывод</x:t>
  </x:si>
  <x:si>
    <x:t xml:space="preserve">Устойчивое поглощение</x:t>
  </x:si>
  <x:si>
    <x:t xml:space="preserve">Главный ограничитель</x:t>
  </x:si>
  <x:si>
    <x:t xml:space="preserve">Цена жилья и ипотечный платеж, затем первоначальный взнос и региональный дисбаланс</x:t>
  </x:si>
  <x:si>
    <x:t xml:space="preserve">Порог восстановления</x:t>
  </x:si>
  <x:si>
    <x:t xml:space="preserve">Существенное улучшение при ставках около 10–12%; массовая доступность ближе к 6–8%</x:t>
  </x:si>
  <x:si>
    <x:t xml:space="preserve">Баланс рынка</x:t>
  </x:si>
  <x:si>
    <x:t xml:space="preserve">Национально рынок перепроизводит в 2026–2027; после 2028 баланс зависит от запусков</x:t>
  </x:si>
  <x:si>
    <x:t xml:space="preserve">Уверенность</x:t>
  </x:si>
  <x:si>
    <x:t xml:space="preserve">Год</x:t>
  </x:si>
  <x:si>
    <x:t xml:space="preserve">Спрос</x:t>
  </x:si>
  <x:si>
    <x:t xml:space="preserve">Новое предложение</x:t>
  </x:si>
  <x:si>
    <x:t xml:space="preserve">Остаток на конец</x:t>
  </x:si>
  <x:si>
    <x:t xml:space="preserve">Как использовать</x:t>
  </x:si>
  <x:si>
    <x:t xml:space="preserve">Меняйте только синие значения на листе «Предпосылки». Сценарий задается числом 1–3.</x:t>
  </x:si>
  <x:si>
    <x:t xml:space="preserve">Шоки</x:t>
  </x:si>
  <x:si>
    <x:t xml:space="preserve">Пользовательские шоки применяются ко всем годам активного сценария; для годовых профилей изменяйте сценарные строки.</x:t>
  </x:si>
  <x:si>
    <x:t xml:space="preserve">Предложение</x:t>
  </x:si>
  <x:si>
    <x:t xml:space="preserve">Если новое предложение устойчиво превышает эффективный спрос, остаток растет автоматически.</x:t>
  </x:si>
  <x:si>
    <x:t xml:space="preserve">Статусы</x:t>
  </x:si>
  <x:si>
    <x:t xml:space="preserve">Предпосылки и сценарный контроль</x:t>
  </x:si>
  <x:si>
    <x:t xml:space="preserve">Глобальные предпосылки и пользовательские шоки</x:t>
  </x:si>
  <x:si>
    <x:t xml:space="preserve">Параметр</x:t>
  </x:si>
  <x:si>
    <x:t xml:space="preserve">Значение</x:t>
  </x:si>
  <x:si>
    <x:t xml:space="preserve">Единица</x:t>
  </x:si>
  <x:si>
    <x:t xml:space="preserve">Статус</x:t>
  </x:si>
  <x:si>
    <x:t xml:space="preserve">Пользовательский шок</x:t>
  </x:si>
  <x:si>
    <x:t xml:space="preserve">Влияние на спрос</x:t>
  </x:si>
  <x:si>
    <x:t xml:space="preserve">Средняя площадь сделки</x:t>
  </x:si>
  <x:si>
    <x:t xml:space="preserve">м²/квартира</x:t>
  </x:si>
  <x:si>
    <x:t xml:space="preserve">ASSUMPTION</x:t>
  </x:si>
  <x:si>
    <x:t xml:space="preserve">Ставка ипотеки</x:t>
  </x:si>
  <x:si>
    <x:t xml:space="preserve">п.п.</x:t>
  </x:si>
  <x:si>
    <x:t xml:space="preserve">Площадь типовой квартиры</x:t>
  </x:si>
  <x:si>
    <x:t xml:space="preserve">м²</x:t>
  </x:si>
  <x:si>
    <x:t xml:space="preserve">Цена первичного жилья</x:t>
  </x:si>
  <x:si>
    <x:t xml:space="preserve">%</x:t>
  </x:si>
  <x:si>
    <x:t xml:space="preserve">Цена первичного жилья 2025</x:t>
  </x:si>
  <x:si>
    <x:t xml:space="preserve">руб./м²</x:t>
  </x:si>
  <x:si>
    <x:t xml:space="preserve">CALCULATION</x:t>
  </x:si>
  <x:si>
    <x:t xml:space="preserve">Реальный доход</x:t>
  </x:si>
  <x:si>
    <x:t xml:space="preserve">Начальный нераспроданный остаток</x:t>
  </x:si>
  <x:si>
    <x:t xml:space="preserve">млн м²</x:t>
  </x:si>
  <x:si>
    <x:t xml:space="preserve">Первоначальный взнос</x:t>
  </x:si>
  <x:si>
    <x:t xml:space="preserve">Средний доход домохозяйства из 3 чел.</x:t>
  </x:si>
  <x:si>
    <x:t xml:space="preserve">руб./мес.</x:t>
  </x:si>
  <x:si>
    <x:t xml:space="preserve">Чистая миграция</x:t>
  </x:si>
  <x:si>
    <x:t xml:space="preserve">тыс. чел.</x:t>
  </x:si>
  <x:si>
    <x:t xml:space="preserve">Медианный доход домохозяйства из 3 чел.</x:t>
  </x:si>
  <x:si>
    <x:t xml:space="preserve">Размер домохозяйства</x:t>
  </x:si>
  <x:si>
    <x:t xml:space="preserve">чел.</x:t>
  </x:si>
  <x:si>
    <x:t xml:space="preserve">Допустимая доля платежа</x:t>
  </x:si>
  <x:si>
    <x:t xml:space="preserve">% дохода</x:t>
  </x:si>
  <x:si>
    <x:t xml:space="preserve">% цены</x:t>
  </x:si>
  <x:si>
    <x:t xml:space="preserve">Логика</x:t>
  </x:si>
  <x:si>
    <x:t xml:space="preserve">Шок × коэффициент</x:t>
  </x:si>
  <x:si>
    <x:t xml:space="preserve">млн м²/год</x:t>
  </x:si>
  <x:si>
    <x:t xml:space="preserve">Срок ипотеки</x:t>
  </x:si>
  <x:si>
    <x:t xml:space="preserve">лет</x:t>
  </x:si>
  <x:si>
    <x:t xml:space="preserve">Цена</x:t>
  </x:si>
  <x:si>
    <x:t xml:space="preserve">+10% дает -2,4 млн м²</x:t>
  </x:si>
  <x:si>
    <x:t xml:space="preserve">калибровка</x:t>
  </x:si>
  <x:si>
    <x:t xml:space="preserve">Нижняя граница структурного остатка</x:t>
  </x:si>
  <x:si>
    <x:t xml:space="preserve">-0,01 дает +0,30 млн м²</x:t>
  </x:si>
  <x:si>
    <x:t xml:space="preserve">лаг не моделируется</x:t>
  </x:si>
  <x:si>
    <x:t xml:space="preserve">Драйвер / сценарий</x:t>
  </x:si>
  <x:si>
    <x:t xml:space="preserve">Домохозяйства, млн — активный</x:t>
  </x:si>
  <x:si>
    <x:t xml:space="preserve">BASE</x:t>
  </x:si>
  <x:si>
    <x:t xml:space="preserve">UPSIDE</x:t>
  </x:si>
  <x:si>
    <x:t xml:space="preserve">DOWNSIDE</x:t>
  </x:si>
  <x:si>
    <x:t xml:space="preserve">Потенциальный годовой спрос, млн м² — активный</x:t>
  </x:si>
  <x:si>
    <x:t xml:space="preserve">Калиброванный спрос первичного рынка, млн м² — активный</x:t>
  </x:si>
  <x:si>
    <x:t xml:space="preserve">Новое предложение, млн м² — активный</x:t>
  </x:si>
  <x:si>
    <x:t xml:space="preserve">Поглощение старого остатка, млн м² — активный</x:t>
  </x:si>
  <x:si>
    <x:t xml:space="preserve">Ипотечная ставка — активный</x:t>
  </x:si>
  <x:si>
    <x:t xml:space="preserve">Рост реальных доходов — активный</x:t>
  </x:si>
  <x:si>
    <x:t xml:space="preserve">Рост цены первичного жилья — активный</x:t>
  </x:si>
  <x:si>
    <x:t xml:space="preserve">БЛОК КОРРЕКТИРОВОК ПОСЛЕ 2-ГО КОНТУРА ПРОВЕРКИ (12.09.2026)</x:t>
  </x:si>
  <x:si>
    <x:t xml:space="preserve">1. Медианный доход (см. п.8 задания)</x:t>
  </x:si>
  <x:si>
    <x:t xml:space="preserve">Low</x:t>
  </x:si>
  <x:si>
    <x:t xml:space="preserve">Base</x:t>
  </x:si>
  <x:si>
    <x:t xml:space="preserve">High</x:t>
  </x:si>
  <x:si>
    <x:t xml:space="preserve">Медианный среднедушевой доход, 2025</x:t>
  </x:si>
  <x:si>
    <x:t xml:space="preserve">тыс.руб./мес.</x:t>
  </x:si>
  <x:si>
    <x:t xml:space="preserve">Размер домохозяйства для пересчёта медианы</x:t>
  </x:si>
  <x:si>
    <x:t xml:space="preserve">Медианный доход домохозяйства — Low / Base / High</x:t>
  </x:si>
  <x:si>
    <x:t xml:space="preserve">Прежнее значение (v1, база 2024 г.)</x:t>
  </x:si>
  <x:si>
    <x:t xml:space="preserve">47,4 тыс.руб./мес. (142 170 руб./мес. на домохозяйство) — отнесено ко 2024 году, не к 2025</x:t>
  </x:si>
  <x:si>
    <x:t xml:space="preserve">Ограничение (обязательно к прочтению)</x:t>
  </x:si>
  <x:si>
    <x:t xml:space="preserve">Доля платёжеспособных семей (лист «Ипотека», столбец I) НЕ пересчитана: параметры лог-нормального распределения доходов, использованные для калибровки исходной доли, не раскрыты явной формулой в книге (значения столбца I — ручной ввод). Пересчитать долю по строгой формуле означало бы изобрести методологию заново, что запрещено п.8 задания. Статус: UNKNOWN. Направление эффекта — вверх (реальная доступность выше показанной), величина не определена.</x:t>
  </x:si>
  <x:si>
    <x:t xml:space="preserve">2. Диапазон эластичности (см. п.13 задания)</x:t>
  </x:si>
  <x:si>
    <x:t xml:space="preserve">Ценовая эластичность спроса</x:t>
  </x:si>
  <x:si>
    <x:t xml:space="preserve">ASSUMPTION — диапазон чувствительности, НЕ эконометрическая оценка и НЕ доверительный интервал</x:t>
  </x:si>
  <x:si>
    <x:t xml:space="preserve">Эластичность спроса по доходу (тестовые значения)</x:t>
  </x:si>
  <x:si>
    <x:t xml:space="preserve">ASSUMPTION — только тест чувствительности; диапазон не подтверждён источником, базовое значение +0,7 сохранено</x:t>
  </x:si>
  <x:si>
    <x:t xml:space="preserve">3. Диапазон портфеля строительства (см. п.9 задания)</x:t>
  </x:si>
  <x:si>
    <x:t xml:space="preserve">Low (ДОМ.РФ)</x:t>
  </x:si>
  <x:si>
    <x:t xml:space="preserve">Base (среднее)</x:t>
  </x:si>
  <x:si>
    <x:t xml:space="preserve">High (ЕРЗ.РФ)</x:t>
  </x:si>
  <x:si>
    <x:t xml:space="preserve">Портфель строительства на 01.09.2026</x:t>
  </x:si>
  <x:si>
    <x:t xml:space="preserve">FACT (диапазон двух источников)</x:t>
  </x:si>
  <x:si>
    <x:t xml:space="preserve">Причина устойчивого расхождения источников (5-7%, ≥18 мес.)</x:t>
  </x:si>
  <x:si>
    <x:t xml:space="preserve">UNKNOWN — вероятно различие методологий учёта (реестр 214-ФЗ ДОМ.РФ/ЕИСЖС vs собственная база ЕРЗ.РФ), точная причина не установлена</x:t>
  </x:si>
  <x:si>
    <x:t xml:space="preserve">Связь портфеля со входом баланса модели</x:t>
  </x:si>
  <x:si>
    <x:t xml:space="preserve">Портфель строительства НЕ является прямым формульным входом баланса остатка в этой модели. Входом служит наблюдаемый нераспроданный остаток на конец 2025 = 80 млн м² (FACT, см. Баланс предложения!D8 и Предпосылки!D12). Диапазон портфеля используется как контекстный ориентир: верхняя граница навеса предложения в 2026-2028 может быть на 4-7% больше базового кейса, если фактический темп ввода ближе к оценке ЕРЗ.РФ.</x:t>
  </x:si>
  <x:si>
    <x:t xml:space="preserve">4. Темп продаж 2026 для расчёта Months of Supply (см. п.12 задания)</x:t>
  </x:si>
  <x:si>
    <x:t xml:space="preserve">Темп продаж для оценки MoS</x:t>
  </x:si>
  <x:si>
    <x:t xml:space="preserve">CALCULATION — диапазон: аннуализация 7 мес. 2026 (наивно) / факт полного 2025 года</x:t>
  </x:si>
  <x:si>
    <x:t xml:space="preserve">Модель платежеспособного спроса 2026–2035</x:t>
  </x:si>
  <x:si>
    <x:t xml:space="preserve">Домохозяйства, млн</x:t>
  </x:si>
  <x:si>
    <x:t xml:space="preserve">Потенциальный спрос, млн м²</x:t>
  </x:si>
  <x:si>
    <x:t xml:space="preserve">Рост реальных доходов</x:t>
  </x:si>
  <x:si>
    <x:t xml:space="preserve">Рост цены</x:t>
  </x:si>
  <x:si>
    <x:t xml:space="preserve">Базовый спрос, млн м²</x:t>
  </x:si>
  <x:si>
    <x:t xml:space="preserve">Эффект ставки</x:t>
  </x:si>
  <x:si>
    <x:t xml:space="preserve">Эффект цены</x:t>
  </x:si>
  <x:si>
    <x:t xml:space="preserve">Эффект дохода</x:t>
  </x:si>
  <x:si>
    <x:t xml:space="preserve">Эффект взноса</x:t>
  </x:si>
  <x:si>
    <x:t xml:space="preserve">Эффект миграции</x:t>
  </x:si>
  <x:si>
    <x:t xml:space="preserve">Эффект размера семьи</x:t>
  </x:si>
  <x:si>
    <x:t xml:space="preserve">Эффективный спрос, млн м²</x:t>
  </x:si>
  <x:si>
    <x:t xml:space="preserve">Покупатели, тыс.</x:t>
  </x:si>
  <x:si>
    <x:t xml:space="preserve">Цена, руб./м²</x:t>
  </x:si>
  <x:si>
    <x:t xml:space="preserve">Спрос, трлн руб.</x:t>
  </x:si>
  <x:si>
    <x:t xml:space="preserve">Методология</x:t>
  </x:si>
  <x:si>
    <x:t xml:space="preserve">Базовый спрос — калиброванная траектория сценария. Пользовательские шоки применяются аддитивно через коэффициенты чувствительности.</x:t>
  </x:si>
  <x:si>
    <x:t xml:space="preserve">Не смешивать</x:t>
  </x:si>
  <x:si>
    <x:t xml:space="preserve">Ограничение</x:t>
  </x:si>
  <x:si>
    <x:t xml:space="preserve">Национальная модель не заменяет проектную оценку по региону, классу, чеку и стадии строительства.</x:t>
  </x:si>
  <x:si>
    <x:t xml:space="preserve">FORECAST / CALCULATION</x:t>
  </x:si>
  <x:si>
    <x:t xml:space="preserve">Баланс спроса, предложения и остатков</x:t>
  </x:si>
  <x:si>
    <x:t xml:space="preserve">Остаток на начало, млн м²</x:t>
  </x:si>
  <x:si>
    <x:t xml:space="preserve">Новое предложение, млн м²</x:t>
  </x:si>
  <x:si>
    <x:t xml:space="preserve">Баланс спрос−предложение</x:t>
  </x:si>
  <x:si>
    <x:t xml:space="preserve">Остаток на конец, млн м²</x:t>
  </x:si>
  <x:si>
    <x:t xml:space="preserve">Старый остаток на начало</x:t>
  </x:si>
  <x:si>
    <x:t xml:space="preserve">Поглощение старого остатка</x:t>
  </x:si>
  <x:si>
    <x:t xml:space="preserve">Старый остаток на конец</x:t>
  </x:si>
  <x:si>
    <x:t xml:space="preserve">Остаточный спрос</x:t>
  </x:si>
  <x:si>
    <x:t xml:space="preserve">CALCULATION/FORECAST</x:t>
  </x:si>
  <x:si>
    <x:t xml:space="preserve">Формула остатка</x:t>
  </x:si>
  <x:si>
    <x:t xml:space="preserve">Остаток на конец = остаток на начало + новое предложение − эффективный спрос</x:t>
  </x:si>
  <x:si>
    <x:t xml:space="preserve">Эффективный спрос − поглощение старого остатка. Остаток не вычитается одномоментно.</x:t>
  </x:si>
  <x:si>
    <x:t xml:space="preserve">Market Balance</x:t>
  </x:si>
  <x:si>
    <x:t xml:space="preserve">Эффективный спрос − новое предложение. Отрицательное значение означает накопление запасов.</x:t>
  </x:si>
  <x:si>
    <x:t xml:space="preserve">Months of Supply</x:t>
  </x:si>
  <x:si>
    <x:t xml:space="preserve">ИСТОРИЧЕСКИЙ ФАКТ ОСТАТКА (2-й контур проверки, п.10 задания)</x:t>
  </x:si>
  <x:si>
    <x:t xml:space="preserve">FACT (наблюдаемый нераспроданный остаток, ЕИСЖС/ДОМ.РФ)</x:t>
  </x:si>
  <x:si>
    <x:t xml:space="preserve">Граница FACT → CALCULATION/FORECAST</x:t>
  </x:si>
  <x:si>
    <x:t xml:space="preserve">Проходит между 2025 и 2026 годами. Значения 2022-2025 — наблюдаемый факт рынка, НЕ результат применения прогнозной формулы. Для 2026+ используется формула остаток(t)=остаток(t-1)+запуски(t)-продажи(t), стартующая от факта 2025=80,0 (совпадает с Предпосылки!D12).</x:t>
  </x:si>
  <x:si>
    <x:t xml:space="preserve">Проверка непрерывности</x:t>
  </x:si>
  <x:si>
    <x:t xml:space="preserve">MONTHS OF SUPPLY — УПРАВЛЕНЧЕСКИЙ ПОКАЗАТЕЛЬ, ДИАПАЗОН (2-й контур проверки)</x:t>
  </x:si>
  <x:si>
    <x:t xml:space="preserve">Вариант</x:t>
  </x:si>
  <x:si>
    <x:t xml:space="preserve">Числитель, млн м²</x:t>
  </x:si>
  <x:si>
    <x:t xml:space="preserve">Знаменатель, млн м²/год</x:t>
  </x:si>
  <x:si>
    <x:t xml:space="preserve">Месяцы</x:t>
  </x:si>
  <x:si>
    <x:t xml:space="preserve">Метод</x:t>
  </x:si>
  <x:si>
    <x:t xml:space="preserve">Вариант 1: факт продаж 2025 (полный год)</x:t>
  </x:si>
  <x:si>
    <x:t xml:space="preserve">Как в исходном исследовании (числитель — середина 2026, знаменатель — весь 2025 год)</x:t>
  </x:si>
  <x:si>
    <x:t xml:space="preserve">Вариант 2: аннуализация 7 мес. 2026 (наивно)</x:t>
  </x:si>
  <x:si>
    <x:t xml:space="preserve">Игнорирует сезонность продаж (декабрь даёт до 14% годового объёма)</x:t>
  </x:si>
  <x:si>
    <x:t xml:space="preserve">Рабочий диапазон</x:t>
  </x:si>
  <x:si>
    <x:t xml:space="preserve">83,1 млн м² (середина 2026 г., FACT)</x:t>
  </x:si>
  <x:si>
    <x:t xml:space="preserve">21,8-25,6 млн м²/год</x:t>
  </x:si>
  <x:si>
    <x:t xml:space="preserve">39-46</x:t>
  </x:si>
  <x:si>
    <x:t xml:space="preserve">Диапазон вместо точки. Данных по скользящим 12 мес. продаж в переданной модели недостаточно — предпочтительный расчёт (остаток/продажи за последние 12 мес.×12) требует помесячного ряда продаж, которого нет в модели. Ограничение зафиксировано явно.</x:t>
  </x:si>
  <x:si>
    <x:t xml:space="preserve">Ипотечная доступность типовой квартиры</x:t>
  </x:si>
  <x:si>
    <x:t xml:space="preserve">Площадь, м²</x:t>
  </x:si>
  <x:si>
    <x:t xml:space="preserve">Срок, лет</x:t>
  </x:si>
  <x:si>
    <x:t xml:space="preserve">Ставка</x:t>
  </x:si>
  <x:si>
    <x:t xml:space="preserve">Цена квартиры, млн руб.</x:t>
  </x:si>
  <x:si>
    <x:t xml:space="preserve">Кредит, млн руб.</x:t>
  </x:si>
  <x:si>
    <x:t xml:space="preserve">Платеж, тыс. руб./мес.</x:t>
  </x:si>
  <x:si>
    <x:t xml:space="preserve">Платеж / средний доход</x:t>
  </x:si>
  <x:si>
    <x:t xml:space="preserve">Платеж / медианный доход</x:t>
  </x:si>
  <x:si>
    <x:t xml:space="preserve">Сигнал</x:t>
  </x:si>
  <x:si>
    <x:t xml:space="preserve">Вывод</x:t>
  </x:si>
  <x:si>
    <x:t xml:space="preserve">При 18% платеж типовой квартиры превышает половину среднего дохода семьи из трех человек.</x:t>
  </x:si>
  <x:si>
    <x:t xml:space="preserve">Восстановление</x:t>
  </x:si>
  <x:si>
    <x:t xml:space="preserve">Диапазон 10–12% заметно расширяет воронку; 6–8% приближает продукт к массовой доступности.</x:t>
  </x:si>
  <x:si>
    <x:t xml:space="preserve">Ограничение после 2-го контура проверки</x:t>
  </x:si>
  <x:si>
    <x:t xml:space="preserve">Столбец «Оценка проходящих порог» (I13:I18) откалиброван к прежнему медианному доходу (47,4 тыс.) и НЕ пересчитан под обновлённый медианный доход (54-56 тыс.), т.к. параметры лог-нормальной модели распределения доходов не раскрыты формулой в книге. Столбец H (платёж/медианный доход) пересчитан автоматически и корректен. Направление ошибки в I13:I18: доля недооценена (реальная доступность выше показанной). Статус: UNKNOWN.</x:t>
  </x:si>
  <x:si>
    <x:t xml:space="preserve">Региональная карта спроса и риска перепроизводства</x:t>
  </x:si>
  <x:si>
    <x:t xml:space="preserve">Кластер</x:t>
  </x:si>
  <x:si>
    <x:t xml:space="preserve">Население, млн</x:t>
  </x:si>
  <x:si>
    <x:t xml:space="preserve">Строится, млн м²</x:t>
  </x:si>
  <x:si>
    <x:t xml:space="preserve">Продажи 2025, млн м²</x:t>
  </x:si>
  <x:si>
    <x:t xml:space="preserve">Интерпретация</x:t>
  </x:si>
  <x:si>
    <x:t xml:space="preserve">Москва</x:t>
  </x:si>
  <x:si>
    <x:t xml:space="preserve">YELLOW</x:t>
  </x:si>
  <x:si>
    <x:t xml:space="preserve">Высокая цена, но максимальные доходы и миграционная концентрация</x:t>
  </x:si>
  <x:si>
    <x:t xml:space="preserve">Московская область</x:t>
  </x:si>
  <x:si>
    <x:t xml:space="preserve">Структурный спрос агломерации при высокой чувствительности к платежу</x:t>
  </x:si>
  <x:si>
    <x:t xml:space="preserve">Санкт-Петербург</x:t>
  </x:si>
  <x:si>
    <x:t xml:space="preserve">Устойчивый центр спроса, но слабая рыночная ипотека ограничивает объем</x:t>
  </x:si>
  <x:si>
    <x:t xml:space="preserve">Краснодарский край</x:t>
  </x:si>
  <x:si>
    <x:t xml:space="preserve">RED</x:t>
  </x:si>
  <x:si>
    <x:t xml:space="preserve">Миграция не компенсирует темп запусков; самый длинный срок реализации</x:t>
  </x:si>
  <x:si>
    <x:t xml:space="preserve">Города-миллионники без Москвы и СПб</x:t>
  </x:si>
  <x:si>
    <x:t xml:space="preserve">Лучшие точки: Казань, Екатеринбург, Новосибирск, Нижний Новгород</x:t>
  </x:si>
  <x:si>
    <x:t xml:space="preserve">Прочие регионы</x:t>
  </x:si>
  <x:si>
    <x:t xml:space="preserve">Спрос локален; национальный дефицит не переносим между регионами</x:t>
  </x:si>
  <x:si>
    <x:t xml:space="preserve">Кластеры структурного спроса</x:t>
  </x:si>
  <x:si>
    <x:t xml:space="preserve">Москва и агломерация; Санкт-Петербург; отдельные города-миллионники с доходами, миграцией и ограниченным запуском.</x:t>
  </x:si>
  <x:si>
    <x:t xml:space="preserve">Повышенный риск</x:t>
  </x:si>
  <x:si>
    <x:t xml:space="preserve">Краснодарский край. Риск также повышен в локальных рынках с запуском выше продаж и слабой платежеспособностью.</x:t>
  </x:si>
  <x:si>
    <x:t xml:space="preserve">Ключевой принцип</x:t>
  </x:si>
  <x:si>
    <x:t xml:space="preserve">Дефицит одного региона не компенсирует избыток другого. Национальный баланс нельзя использовать для решения о конкретном проекте.</x:t>
  </x:si>
  <x:si>
    <x:t xml:space="preserve">Данные</x:t>
  </x:si>
  <x:si>
    <x:t xml:space="preserve">Кластеризация комбинирует официальные данные и модельные распределения; детализация продаж и остатков по всем регионам неполна.</x:t>
  </x:si>
  <x:si>
    <x:t xml:space="preserve">MEDIUM / LOW для точных кластерных объемов; HIGH для направления регионального дисбаланса.</x:t>
  </x:si>
  <x:si>
    <x:t xml:space="preserve">Чувствительность годового спроса</x:t>
  </x:si>
  <x:si>
    <x:t xml:space="preserve">Фактор</x:t>
  </x:si>
  <x:si>
    <x:t xml:space="preserve">Шок</x:t>
  </x:si>
  <x:si>
    <x:t xml:space="preserve">Изменение спроса, млн м²</x:t>
  </x:si>
  <x:si>
    <x:t xml:space="preserve">Методологическая заметка</x:t>
  </x:si>
  <x:si>
    <x:t xml:space="preserve">Ипотечная ставка</x:t>
  </x:si>
  <x:si>
    <x:t xml:space="preserve">+1 п.п.</x:t>
  </x:si>
  <x:si>
    <x:t xml:space="preserve">Допущение по калибровке 2020–2025; нелинейность выше 18%</x:t>
  </x:si>
  <x:si>
    <x:t xml:space="preserve">+10%</x:t>
  </x:si>
  <x:si>
    <x:t xml:space="preserve">Эластичность -0,8 при неизменных доходах и ставке</x:t>
  </x:si>
  <x:si>
    <x:t xml:space="preserve">+1%</x:t>
  </x:si>
  <x:si>
    <x:t xml:space="preserve">Эластичность +0,7</x:t>
  </x:si>
  <x:si>
    <x:t xml:space="preserve">+10 п.п.</x:t>
  </x:si>
  <x:si>
    <x:t xml:space="preserve">Сильнее всего для молодых домохозяйств без капитала от продажи</x:t>
  </x:si>
  <x:si>
    <x:t xml:space="preserve">Новые запуски</x:t>
  </x:si>
  <x:si>
    <x:t xml:space="preserve">+10 млн м²</x:t>
  </x:si>
  <x:si>
    <x:t xml:space="preserve">Спрос не создается; остаток через цикл выше примерно на 10 млн м²</x:t>
  </x:si>
  <x:si>
    <x:t xml:space="preserve">+100 тыс. человек</x:t>
  </x:si>
  <x:si>
    <x:t xml:space="preserve">Около 5 тыс. дополнительных первичных покупок после лагов</x:t>
  </x:si>
  <x:si>
    <x:t xml:space="preserve">Средний размер домохозяйства</x:t>
  </x:si>
  <x:si>
    <x:t xml:space="preserve">-0,01 человека</x:t>
  </x:si>
  <x:si>
    <x:t xml:space="preserve">Эффект растянут на несколько лет и зависит от дохода</x:t>
  </x:si>
  <x:si>
    <x:t xml:space="preserve">Рейтинг драйверов</x:t>
  </x:si>
  <x:si>
    <x:t xml:space="preserve">1. Цена жилья</x:t>
  </x:si>
  <x:si>
    <x:t xml:space="preserve">2. Первоначальный взнос</x:t>
  </x:si>
  <x:si>
    <x:t xml:space="preserve">3. Ипотечная ставка</x:t>
  </x:si>
  <x:si>
    <x:t xml:space="preserve">4. Реальные доходы</x:t>
  </x:si>
  <x:si>
    <x:t xml:space="preserve">5. Региональный объем запусков</x:t>
  </x:si>
  <x:si>
    <x:t xml:space="preserve">Ставка действует нелинейно: выше 18% доступность уже близка к нижней границе, а снижение к 10–12% дает более сильный эффект.</x:t>
  </x:si>
  <x:si>
    <x:t xml:space="preserve">СТРЕСС-ТЕСТ ПО ДИАПАЗОНУ ЦЕНОВОЙ ЭЛАСТИЧНОСТИ (2-й контур проверки, п.13 и п.17 задания)</x:t>
  </x:si>
  <x:si>
    <x:t xml:space="preserve">Сценарий</x:t>
  </x:si>
  <x:si>
    <x:t xml:space="preserve">Эластичность</x:t>
  </x:si>
  <x:si>
    <x:t xml:space="preserve">Шок цены</x:t>
  </x:si>
  <x:si>
    <x:t xml:space="preserve">ΔСпрос 2030, млн м²</x:t>
  </x:si>
  <x:si>
    <x:t xml:space="preserve">Спрос 2030 при шоке, млн м²</x:t>
  </x:si>
  <x:si>
    <x:t xml:space="preserve">ΔСпрос 2035, млн м²</x:t>
  </x:si>
  <x:si>
    <x:t xml:space="preserve">Спрос 2035 при шоке, млн м²</x:t>
  </x:si>
  <x:si>
    <x:t xml:space="preserve">Остаток 2030 при шоке, млн м²</x:t>
  </x:si>
  <x:si>
    <x:t xml:space="preserve">MoS 2030 при шоке, мес.</x:t>
  </x:si>
  <x:si>
    <x:t xml:space="preserve">CALCULATION / ASSUMPTION</x:t>
  </x:si>
  <x:si>
    <x:t xml:space="preserve">Вывод по стресс-тесту эластичности</x:t>
  </x:si>
  <x:si>
    <x:t xml:space="preserve">Диапазон -0,6...-1,0 не меняет знак эффекта и не меняет порядок величины (при шоке цены +10% изменение спроса-2030: от -1,8 до -3,0 млн м² против точечных -2,4 млн м²). Качественный вывод о высокой чувствительности спроса к цене устойчив к выбору эластичности внутри диапазона. Диапазон НЕ является статистическим доверительным интервалом.</x:t>
  </x:si>
  <x:si>
    <x:t xml:space="preserve">Тестовая чувствительность к эластичности по доходу (ASSUMPTION, не эмпирический диапазон)</x:t>
  </x:si>
  <x:si>
    <x:t xml:space="preserve">'Предпосылки'!D82 / E82 / F82 = 0,5 / 0,7 / 0,9. Базовое значение +0,7 сохранено. Диапазон приведён только как тест устойчивости, источник для границ отсутствует.</x:t>
  </x:si>
  <x:si>
    <x:t xml:space="preserve">СТРЕСС-ТЕСТ ГЛАВНОГО ВЫВОДА (п.17 задания)</x:t>
  </x:si>
  <x:si>
    <x:t xml:space="preserve">Условие</x:t>
  </x:si>
  <x:si>
    <x:t xml:space="preserve">Текущее состояние на 12.09.2026</x:t>
  </x:si>
  <x:si>
    <x:t xml:space="preserve">Выполняется?</x:t>
  </x:si>
  <x:si>
    <x:t xml:space="preserve">Рыночная ставка устойчиво &lt; 10% ранее 2028</x:t>
  </x:si>
  <x:si>
    <x:t xml:space="preserve">НЕТ</x:t>
  </x:si>
  <x:si>
    <x:t xml:space="preserve">Сокращение запусков &gt;20-25% в национальном масштабе</x:t>
  </x:si>
  <x:si>
    <x:t xml:space="preserve">Запуски 2025 = 41,3 млн м², выше продаж; сокращение такого масштаба не наблюдается (FACT)</x:t>
  </x:si>
  <x:si>
    <x:t xml:space="preserve">Медианный доход выше 56 тыс. руб./мес.</x:t>
  </x:si>
  <x:si>
    <x:t xml:space="preserve">Скорректированная оценка 54-56 тыс. (CALCULATION); выше верхней границы не зафиксировано</x:t>
  </x:si>
  <x:si>
    <x:t xml:space="preserve">Одновременное сочетание всех условий</x:t>
  </x:si>
  <x:si>
    <x:t xml:space="preserve">Ни одно условие по отдельности не выполняется на дату среза</x:t>
  </x:si>
  <x:si>
    <x:t xml:space="preserve">НЕТ — срок нормализации 3-4 года сохраняется</x:t>
  </x:si>
  <x:si>
    <x:t xml:space="preserve">Историческая проверка модели 2020–2025</x:t>
  </x:si>
  <x:si>
    <x:t xml:space="preserve">Факт, млн м²</x:t>
  </x:si>
  <x:si>
    <x:t xml:space="preserve">Модель, млн м²</x:t>
  </x:si>
  <x:si>
    <x:t xml:space="preserve">Ошибка, млн м²</x:t>
  </x:si>
  <x:si>
    <x:t xml:space="preserve">Абс. ошибка, %</x:t>
  </x:si>
  <x:si>
    <x:t xml:space="preserve">Пропущенный драйвер / контекст</x:t>
  </x:si>
  <x:si>
    <x:t xml:space="preserve">Массовая льготная ипотека и перенос спроса</x:t>
  </x:si>
  <x:si>
    <x:t xml:space="preserve">Полный год субсидирования и рост цен</x:t>
  </x:si>
  <x:si>
    <x:t xml:space="preserve">Шок ставок и кратковременная остановка сделок</x:t>
  </x:si>
  <x:si>
    <x:t xml:space="preserve">Субсидированные программы перед ужесточением</x:t>
  </x:si>
  <x:si>
    <x:t xml:space="preserve">Завершение массовой программы в середине года</x:t>
  </x:si>
  <x:si>
    <x:t xml:space="preserve">Семейная ипотека и рост доли рассрочек</x:t>
  </x:si>
  <x:si>
    <x:t xml:space="preserve">Метрика</x:t>
  </x:si>
  <x:si>
    <x:t xml:space="preserve">MAPE</x:t>
  </x:si>
  <x:si>
    <x:t xml:space="preserve">Средняя ошибка, млн м²</x:t>
  </x:si>
  <x:si>
    <x:t xml:space="preserve">Модель воспроизводит направление шоков, но 2023 показывает недооценку спроса перед ужесточением программ.</x:t>
  </x:si>
  <x:si>
    <x:t xml:space="preserve">Пропущенные факторы</x:t>
  </x:si>
  <x:si>
    <x:t xml:space="preserve">Ожидания изменения условий, субсидирование ставки застройщиком, рассрочки, перенос спроса между годами.</x:t>
  </x:si>
  <x:si>
    <x:t xml:space="preserve">Назначение</x:t>
  </x:si>
  <x:si>
    <x:t xml:space="preserve">Backtest проверяет разумность зависимостей, а не доказывает точность прогноза.</x:t>
  </x:si>
  <x:si>
    <x:t xml:space="preserve">Аудит исходной гипотезы и индикаторы раннего предупреждения</x:t>
  </x:si>
  <x:si>
    <x:t xml:space="preserve">Аудит исходной гипотезы</x:t>
  </x:si>
  <x:si>
    <x:t xml:space="preserve">Показатель</x:t>
  </x:si>
  <x:si>
    <x:t xml:space="preserve">Исходное значение</x:t>
  </x:si>
  <x:si>
    <x:t xml:space="preserve">Проверенное значение</x:t>
  </x:si>
  <x:si>
    <x:t xml:space="preserve">Источник</x:t>
  </x:si>
  <x:si>
    <x:t xml:space="preserve">Комментарий</x:t>
  </x:si>
  <x:si>
    <x:t xml:space="preserve">Население РФ</x:t>
  </x:si>
  <x:si>
    <x:t xml:space="preserve">около 146,1 млн</x:t>
  </x:si>
  <x:si>
    <x:t xml:space="preserve">146,12 млн на 01.01.2025; 2026 официальная итоговая оценка не найдена</x:t>
  </x:si>
  <x:si>
    <x:t xml:space="preserve">FACT / UNKNOWN</x:t>
  </x:si>
  <x:si>
    <x:t xml:space="preserve">Росстат</x:t>
  </x:si>
  <x:si>
    <x:t xml:space="preserve">Высокая уверенность для 2025; периметр без четырех новых регионов</x:t>
  </x:si>
  <x:si>
    <x:t xml:space="preserve">Обеспеченность жильем</x:t>
  </x:si>
  <x:si>
    <x:t xml:space="preserve">30,3 м²/чел.</x:t>
  </x:si>
  <x:si>
    <x:t xml:space="preserve">29,4 м²/чел. на конец 2024</x:t>
  </x:si>
  <x:si>
    <x:t xml:space="preserve">FACT</x:t>
  </x:si>
  <x:si>
    <x:t xml:space="preserve">Средняя площадь всего фонда на постоянного жителя, не норматив покупки</x:t>
  </x:si>
  <x:si>
    <x:t xml:space="preserve">Доля обеспеченных жильем</x:t>
  </x:si>
  <x:si>
    <x:t xml:space="preserve">50%</x:t>
  </x:si>
  <x:si>
    <x:t xml:space="preserve">Официального показателя с таким определением нет</x:t>
  </x:si>
  <x:si>
    <x:t xml:space="preserve">ASSUMPTION / UNKNOWN</x:t>
  </x:si>
  <x:si>
    <x:t xml:space="preserve">—</x:t>
  </x:si>
  <x:si>
    <x:t xml:space="preserve">Не использовать</x:t>
  </x:si>
  <x:si>
    <x:t xml:space="preserve">Домохозяйства</x:t>
  </x:si>
  <x:si>
    <x:t xml:space="preserve">не учтено</x:t>
  </x:si>
  <x:si>
    <x:t xml:space="preserve">66,1 млн частных домохозяйств; средний размер 2,2, ВПН-2020</x:t>
  </x:si>
  <x:si>
    <x:t xml:space="preserve">Росстат / ВПН-2020</x:t>
  </x:si>
  <x:si>
    <x:t xml:space="preserve">Корректная базовая единица спроса</x:t>
  </x:si>
  <x:si>
    <x:t xml:space="preserve">Строящееся жилье</x:t>
  </x:si>
  <x:si>
    <x:t xml:space="preserve">118,8 млн м²</x:t>
  </x:si>
  <x:si>
    <x:t xml:space="preserve">120,6 млн м² на 01.09.2026</x:t>
  </x:si>
  <x:si>
    <x:t xml:space="preserve">ДОМ.РФ / ЕИСЖС</x:t>
  </x:si>
  <x:si>
    <x:t xml:space="preserve">Портфель строящихся МКД, не годовое предложение</x:t>
  </x:si>
  <x:si>
    <x:t xml:space="preserve">Нераспроданный остаток</x:t>
  </x:si>
  <x:si>
    <x:t xml:space="preserve">31%</x:t>
  </x:si>
  <x:si>
    <x:t xml:space="preserve">83,1 млн м², около 70% портфеля, середина 2026</x:t>
  </x:si>
  <x:si>
    <x:t xml:space="preserve">31% ближе к доле проданного, а не непроданного</x:t>
  </x:si>
  <x:si>
    <x:t xml:space="preserve">Потенциальная потребность</x:t>
  </x:si>
  <x:si>
    <x:t xml:space="preserve">около 2,2 млрд м²</x:t>
  </x:si>
  <x:si>
    <x:t xml:space="preserve">арифметика воспроизводится, экономический смысл отсутствует</x:t>
  </x:si>
  <x:si>
    <x:t xml:space="preserve">Расчет исходной гипотезы</x:t>
  </x:si>
  <x:si>
    <x:t xml:space="preserve">Смешаны люди, фонд, норматив и покупка первичного жилья</x:t>
  </x:si>
  <x:si>
    <x:t xml:space="preserve">Расчет 50% × 30,3 м²</x:t>
  </x:si>
  <x:si>
    <x:t xml:space="preserve">146,1 млн × 50% × 30,3 м² = 2,214 млрд м²</x:t>
  </x:si>
  <x:si>
    <x:t xml:space="preserve">Экономический смысл</x:t>
  </x:si>
  <x:si>
    <x:t xml:space="preserve">Отсутствует: средняя обеспеченность не норматив, человек не равен домохозяйству, вторичный рынок и существующий фонд исключены.</x:t>
  </x:si>
  <x:si>
    <x:t xml:space="preserve">INTERPRETATION</x:t>
  </x:si>
  <x:si>
    <x:t xml:space="preserve">Решение модели</x:t>
  </x:si>
  <x:si>
    <x:t xml:space="preserve">Расчет не используется как база прогноза. Модель опирается на домохозяйства, доступность, намерение, канал финансирования и долю первичного рынка.</x:t>
  </x:si>
  <x:si>
    <x:t xml:space="preserve">RECOMMENDATION</x:t>
  </x:si>
  <x:si>
    <x:t xml:space="preserve">HIGH для критики методологии.</x:t>
  </x:si>
  <x:si>
    <x:t xml:space="preserve">CONFIDENCE</x:t>
  </x:si>
  <x:si>
    <x:t xml:space="preserve">KPI раннего предупреждения</x:t>
  </x:si>
  <x:si>
    <x:t xml:space="preserve">KPI</x:t>
  </x:si>
  <x:si>
    <x:t xml:space="preserve">Текущее значение</x:t>
  </x:si>
  <x:si>
    <x:t xml:space="preserve">Исторический диапазон</x:t>
  </x:si>
  <x:si>
    <x:t xml:space="preserve">Направление</x:t>
  </x:si>
  <x:si>
    <x:t xml:space="preserve">Продажи новостроек</x:t>
  </x:si>
  <x:si>
    <x:t xml:space="preserve">25,6 млн м² за 2025; 12,7 млн м² за 7м2026</x:t>
  </x:si>
  <x:si>
    <x:t xml:space="preserve">22,6–34,2 млн м²</x:t>
  </x:si>
  <x:si>
    <x:t xml:space="preserve">слабее после январского всплеска</x:t>
  </x:si>
  <x:si>
    <x:t xml:space="preserve">41,3 млн м² за 2025; 25,5 млн м² за 8м2026</x:t>
  </x:si>
  <x:si>
    <x:t xml:space="preserve">около 28–48 млн м²</x:t>
  </x:si>
  <x:si>
    <x:t xml:space="preserve">выше текущих продаж</x:t>
  </x:si>
  <x:si>
    <x:t xml:space="preserve">83,1 млн м², середина 2026</x:t>
  </x:si>
  <x:si>
    <x:t xml:space="preserve">59,8–83,1 млн м²</x:t>
  </x:si>
  <x:si>
    <x:t xml:space="preserve">исторический максимум</x:t>
  </x:si>
  <x:si>
    <x:t xml:space="preserve">3,2 года = 38 месяцев</x:t>
  </x:si>
  <x:si>
    <x:t xml:space="preserve">2,0–3,7 года</x:t>
  </x:si>
  <x:si>
    <x:t xml:space="preserve">в пределах верхней границы только в среднем</x:t>
  </x:si>
  <x:si>
    <x:t xml:space="preserve">Ипотечные выдачи</x:t>
  </x:si>
  <x:si>
    <x:t xml:space="preserve">85,5 тыс. / 363,4 млрд руб., июль 2026</x:t>
  </x:si>
  <x:si>
    <x:t xml:space="preserve">примерно 80–170 тыс. в месяц</x:t>
  </x:si>
  <x:si>
    <x:t xml:space="preserve">снижение к июню</x:t>
  </x:si>
  <x:si>
    <x:t xml:space="preserve">Рыночная ипотечная ставка</x:t>
  </x:si>
  <x:si>
    <x:t xml:space="preserve">17,8%, июль 2026</x:t>
  </x:si>
  <x:si>
    <x:t xml:space="preserve">около 8–25%</x:t>
  </x:si>
  <x:si>
    <x:t xml:space="preserve">снижается, но недоступна большинству</x:t>
  </x:si>
  <x:si>
    <x:t xml:space="preserve">Средний ипотечный платеж</x:t>
  </x:si>
  <x:si>
    <x:t xml:space="preserve">116,5 тыс. руб. при 18% для 54 м²</x:t>
  </x:si>
  <x:si>
    <x:t xml:space="preserve">49,5–141,4 тыс. при 6–22%</x:t>
  </x:si>
  <x:si>
    <x:t xml:space="preserve">свыше 50% среднего дохода семьи из 3 человек</x:t>
  </x:si>
  <x:si>
    <x:t xml:space="preserve">Price-to-income</x:t>
  </x:si>
  <x:si>
    <x:t xml:space="preserve">2,9 года по смешанному жилью; 4,1 для первичного чека</x:t>
  </x:si>
  <x:si>
    <x:t xml:space="preserve">2,9–3,8 по методике ИЭГ</x:t>
  </x:si>
  <x:si>
    <x:t xml:space="preserve">улучшение доходами, но первичка дороже</x:t>
  </x:si>
  <x:si>
    <x:t xml:space="preserve">Реальные располагаемые доходы</x:t>
  </x:si>
  <x:si>
    <x:t xml:space="preserve">+2,1% прогноз на 2026</x:t>
  </x:si>
  <x:si>
    <x:t xml:space="preserve">стагнация – высокий однозначный рост</x:t>
  </x:si>
  <x:si>
    <x:t xml:space="preserve">замедление после 2025</x:t>
  </x:si>
  <x:si>
    <x:t xml:space="preserve">Миграционный прирост</x:t>
  </x:si>
  <x:si>
    <x:t xml:space="preserve">около 220–230 тыс. в год в прогнозе</x:t>
  </x:si>
  <x:si>
    <x:t xml:space="preserve">200–340 тыс. по сценариям</x:t>
  </x:si>
  <x:si>
    <x:t xml:space="preserve">не перекрывает естественную убыль</x:t>
  </x:si>
  <x:si>
    <x:t xml:space="preserve">Формирование домохозяйств</x:t>
  </x:si>
  <x:si>
    <x:t xml:space="preserve">0–0,2 млн нетто в год, модель</x:t>
  </x:si>
  <x:si>
    <x:t xml:space="preserve">от -0,1 до +0,3 млн</x:t>
  </x:si>
  <x:si>
    <x:t xml:space="preserve">поддерживается уменьшением размера семьи</x:t>
  </x:si>
  <x:si>
    <x:t xml:space="preserve">Цена первичного рынка</x:t>
  </x:si>
  <x:si>
    <x:t xml:space="preserve">203 тыс. руб./м² по сделкам 2025; 215,3 тыс. в IV кв. Росстата</x:t>
  </x:si>
  <x:si>
    <x:t xml:space="preserve">рост около 6–21% в 2025 в зависимости от ряда</x:t>
  </x:si>
  <x:si>
    <x:t xml:space="preserve">выше вторичного</x:t>
  </x:si>
  <x:si>
    <x:t xml:space="preserve">Разрыв первичного и вторичного рынка</x:t>
  </x:si>
  <x:si>
    <x:t xml:space="preserve">52% по средним Росстата I кв.2026; 9% quality-adjusted ЦБ</x:t>
  </x:si>
  <x:si>
    <x:t xml:space="preserve">9–52%</x:t>
  </x:si>
  <x:si>
    <x:t xml:space="preserve">сильная композиционная разница</x:t>
  </x:si>
  <x:si>
    <x:t xml:space="preserve">Медианный доход домохозяйства (обновление 2-й контур)</x:t>
  </x:si>
  <x:si>
    <x:t xml:space="preserve">47,4 тыс. руб./мес. (2024 год, ошибочно использован как 2025)</x:t>
  </x:si>
  <x:si>
    <x:t xml:space="preserve">54-56 тыс. руб./мес., центр 55 (2025 год); диапазон — CALCULATION, первичная выгрузка Росстата не подтверждена</x:t>
  </x:si>
  <x:si>
    <x:t xml:space="preserve">CALCULATION (было по факту принято за более достоверное)</x:t>
  </x:si>
  <x:si>
    <x:t xml:space="preserve">Росстат / ЕМИСС (независимо цитируемые агрегаторы)</x:t>
  </x:si>
  <x:si>
    <x:t xml:space="preserve">Доля платежеспособных семей НЕ пересчитана — см. Ипотека!D26. Статус UNKNOWN.</x:t>
  </x:si>
  <x:si>
    <x:t xml:space="preserve">Months of Supply (обновление 2-й контур)</x:t>
  </x:si>
  <x:si>
    <x:t xml:space="preserve">38,9 месяца (точка; числитель и знаменатель за разные периоды)</x:t>
  </x:si>
  <x:si>
    <x:t xml:space="preserve">39-46 месяцев (диапазон); см. Баланс предложения, строки 37-41</x:t>
  </x:si>
  <x:si>
    <x:t xml:space="preserve">ЕИСЖС/ДОМ.РФ (остаток), внутренние продажи (знаменатель)</x:t>
  </x:si>
  <x:si>
    <x:t xml:space="preserve">Диапазон вместо точки; скользящий 12-мес. ряд в модели отсутствует</x:t>
  </x:si>
  <x:si>
    <x:t xml:space="preserve">Портфель строительства на отчётную дату (обновление 2-й контур)</x:t>
  </x:si>
  <x:si>
    <x:t xml:space="preserve">120,6 млн м² (единая точка)</x:t>
  </x:si>
  <x:si>
    <x:t xml:space="preserve">120-129 млн м² (ДОМ.РФ/ЕИСЖС 120,6; ЕРЗ.РФ ≈128,9); центр 124,5 как ASSUMPTION</x:t>
  </x:si>
  <x:si>
    <x:t xml:space="preserve">FACT (диапазон)</x:t>
  </x:si>
  <x:si>
    <x:t xml:space="preserve">ДОМ.РФ / ЕИСЖС; ЕРЗ.РФ</x:t>
  </x:si>
  <x:si>
    <x:t xml:space="preserve">Не является прямым входом баланса остатка; контекстный ориентир, см. Предпосылки!D89</x:t>
  </x:si>
  <x:si>
    <x:t xml:space="preserve">Ценовая эластичность спроса (обновление 2-й контур)</x:t>
  </x:si>
  <x:si>
    <x:t xml:space="preserve">-0,8 (точка)</x:t>
  </x:si>
  <x:si>
    <x:t xml:space="preserve">-0,6...-1,0 (диапазон чувствительности); база -0,8 сохранена</x:t>
  </x:si>
  <x:si>
    <x:t xml:space="preserve">Калибровка исследования 2020-2025; прямая эконометрика по РФ не найдена</x:t>
  </x:si>
  <x:si>
    <x:t xml:space="preserve">Знак и порядок величины эффекта устойчивы к выбору внутри диапазона</x:t>
  </x:si>
  <x:si>
    <x:t xml:space="preserve">Доля господдержки в ипотеке: 51,8% vs 79%</x:t>
  </x:si>
  <x:si>
    <x:t xml:space="preserve">Расхождение не объяснено (замечание 1-го контура аудита)</x:t>
  </x:si>
  <x:si>
    <x:t xml:space="preserve">NOT CONFIRMED как ошибка: разные периоды (июль 2026 vs 2025 год) и, вероятно, разные базы расчёта (доля по объёму выдач vs доля по количеству кредитов, месяц vs год)</x:t>
  </x:si>
  <x:si>
    <x:t xml:space="preserve">Банк России (51,8%, июль 2026); ИЭГ (79%, 2025)</x:t>
  </x:si>
  <x:si>
    <x:t xml:space="preserve">Замечание отклонено как подтверждённая ошибка по прямому указанию задания (п.6)</x:t>
  </x:si>
  <x:si>
    <x:t xml:space="preserve">КОНТРОЛЬНАЯ ТАБЛИЦА v1 → v2 (МОСТ EXCEL → WORD)</x:t>
  </x:si>
  <x:si>
    <x:t xml:space="preserve">Старая модель (v1)</x:t>
  </x:si>
  <x:si>
    <x:t xml:space="preserve">Новая модель (v2)</x:t>
  </x:si>
  <x:si>
    <x:t xml:space="preserve">Изменение</x:t>
  </x:si>
  <x:si>
    <x:t xml:space="preserve">Причина</x:t>
  </x:si>
  <x:si>
    <x:t xml:space="preserve">Медианный доход домохозяйства, тыс.руб./мес.</x:t>
  </x:si>
  <x:si>
    <x:t xml:space="preserve">142,17 (47,4×3)</x:t>
  </x:si>
  <x:si>
    <x:t xml:space="preserve">165 (55×3), диапазон 162-168</x:t>
  </x:si>
  <x:si>
    <x:t xml:space="preserve">+16%</x:t>
  </x:si>
  <x:si>
    <x:t xml:space="preserve">2-й контур: показатель относился к 2024, не к 2025 году</x:t>
  </x:si>
  <x:si>
    <x:t xml:space="preserve">Отношение платёж/медианный доход при 18%</x:t>
  </x:si>
  <x:si>
    <x:t xml:space="preserve">82,0%</x:t>
  </x:si>
  <x:si>
    <x:t xml:space="preserve">70,7%</x:t>
  </x:si>
  <x:si>
    <x:t xml:space="preserve">-11,3 п.п.</x:t>
  </x:si>
  <x:si>
    <x:t xml:space="preserve">Пересчёт по обновлённому медианному доходу (формула)</x:t>
  </x:si>
  <x:si>
    <x:t xml:space="preserve">Доступность (доля платежеспособных семей)</x:t>
  </x:si>
  <x:si>
    <x:t xml:space="preserve">23-67% по ставкам (ручной ввод)</x:t>
  </x:si>
  <x:si>
    <x:t xml:space="preserve">БЕЗ ИЗМЕНЕНИЙ (не пересчитано)</x:t>
  </x:si>
  <x:si>
    <x:t xml:space="preserve">0</x:t>
  </x:si>
  <x:si>
    <x:t xml:space="preserve">Параметры лог-нормальной модели не раскрыты — UNKNOWN, направление вверх</x:t>
  </x:si>
  <x:si>
    <x:t xml:space="preserve">UNKNOWN</x:t>
  </x:si>
  <x:si>
    <x:t xml:space="preserve">24,0 → 29,3</x:t>
  </x:si>
  <x:si>
    <x:t xml:space="preserve">24,0 → 29,3 (БЕЗ ИЗМЕНЕНИЙ)</x:t>
  </x:si>
  <x:si>
    <x:t xml:space="preserve">Калиброванная кривая спроса — ручной ввод автора, формульно не связана с медианным доходом</x:t>
  </x:si>
  <x:si>
    <x:t xml:space="preserve">FORECAST (не пересчитано по формуле)</x:t>
  </x:si>
  <x:si>
    <x:t xml:space="preserve">24,0 млн м²</x:t>
  </x:si>
  <x:si>
    <x:t xml:space="preserve">24,0 млн м² (БЕЗ ИЗМЕНЕНИЙ)</x:t>
  </x:si>
  <x:si>
    <x:t xml:space="preserve">См. выше</x:t>
  </x:si>
  <x:si>
    <x:t xml:space="preserve">FORECAST</x:t>
  </x:si>
  <x:si>
    <x:t xml:space="preserve">Портфель строительства, млн м²</x:t>
  </x:si>
  <x:si>
    <x:t xml:space="preserve">120,6 (точка)</x:t>
  </x:si>
  <x:si>
    <x:t xml:space="preserve">120-129 (диапазон), центр 124,5</x:t>
  </x:si>
  <x:si>
    <x:t xml:space="preserve">диапазон вместо точки</x:t>
  </x:si>
  <x:si>
    <x:t xml:space="preserve">2-й контур: системное расхождение источников 5-7%</x:t>
  </x:si>
  <x:si>
    <x:t xml:space="preserve">92,0</x:t>
  </x:si>
  <x:si>
    <x:t xml:space="preserve">92,0 (БЕЗ ИЗМЕНЕНИЙ)</x:t>
  </x:si>
  <x:si>
    <x:t xml:space="preserve">Формула не зависит от портфеля строительства (вход — наблюдаемый остаток)</x:t>
  </x:si>
  <x:si>
    <x:t xml:space="preserve">Months of Supply 2026</x:t>
  </x:si>
  <x:si>
    <x:t xml:space="preserve">38,9 мес. (точка)</x:t>
  </x:si>
  <x:si>
    <x:t xml:space="preserve">39-46 мес. (диапазон)</x:t>
  </x:si>
  <x:si>
    <x:t xml:space="preserve">2-й контур: несопоставимые периоды числителя/знаменателя</x:t>
  </x:si>
  <x:si>
    <x:t xml:space="preserve">-0,6 / -0,8 / -1,0 (диапазон)</x:t>
  </x:si>
  <x:si>
    <x:t xml:space="preserve">2-й контур: точечное значение не подтверждено эконометрически</x:t>
  </x:si>
  <x:si>
    <x:t xml:space="preserve">Эффект +10% цены на спрос-2030, млн м²</x:t>
  </x:si>
  <x:si>
    <x:t xml:space="preserve">-2,4 (точка)</x:t>
  </x:si>
  <x:si>
    <x:t xml:space="preserve">-1,8...-3,0 (диапазон)</x:t>
  </x:si>
  <x:si>
    <x:t xml:space="preserve">Пересчёт при эластичности -0,6...-1,0</x:t>
  </x:si>
  <x:si>
    <x:t xml:space="preserve">29,3</x:t>
  </x:si>
  <x:si>
    <x:t xml:space="preserve">29,3 (БЕЗ ИЗМЕНЕНИЙ)</x:t>
  </x:si>
  <x:si>
    <x:t xml:space="preserve">Калиброванная кривая не пересчитана (UNKNOWN)</x:t>
  </x:si>
  <x:si>
    <x:t xml:space="preserve">34,0</x:t>
  </x:si>
  <x:si>
    <x:t xml:space="preserve">34,0 (БЕЗ ИЗМЕНЕНИЙ)</x:t>
  </x:si>
  <x:si>
    <x:t xml:space="preserve">21,0</x:t>
  </x:si>
  <x:si>
    <x:t xml:space="preserve">21,0 (БЕЗ ИЗМЕНЕНИЙ)</x:t>
  </x:si>
  <x:si>
    <x:t xml:space="preserve">Срок нормализации навеса</x:t>
  </x:si>
  <x:si>
    <x:t xml:space="preserve">3-4 года (БЕЗ ИЗМЕНЕНИЙ); стресс-тест: 1,5-2 года только при одновременном выполнении 3 условий, ни одно из которых не выполняется на 12.09.2026</x:t>
  </x:si>
  <x:si>
    <x:t xml:space="preserve">0 в точке</x:t>
  </x:si>
  <x:si>
    <x:t xml:space="preserve">Стресс-тест п.17 задания не выявил оснований для сокращения срока по состоянию на дату среза</x:t>
  </x:si>
  <x:si>
    <x:t xml:space="preserve">Источники и дата доступа</x:t>
  </x:si>
  <x:si>
    <x:t xml:space="preserve">Организация</x:t>
  </x:si>
  <x:si>
    <x:t xml:space="preserve">Документ / показатель</x:t>
  </x:si>
  <x:si>
    <x:t xml:space="preserve">Дата данных</x:t>
  </x:si>
  <x:si>
    <x:t xml:space="preserve">Tier</x:t>
  </x:si>
  <x:si>
    <x:t xml:space="preserve">Прямая ссылка</x:t>
  </x:si>
  <x:si>
    <x:t xml:space="preserve">Дата доступа</x:t>
  </x:si>
  <x:si>
    <x:t xml:space="preserve">Оценка численности постоянного населения РФ на 1 января 2025 года</x:t>
  </x:si>
  <x:si>
    <x:t xml:space="preserve">2025</x:t>
  </x:si>
  <x:si>
    <x:t xml:space="preserve">Tier 1</x:t>
  </x:si>
  <x:si>
    <x:t xml:space="preserve">https://rosstat.gov.ru/</x:t>
  </x:si>
  <x:si>
    <x:t xml:space="preserve">11.09.2026</x:t>
  </x:si>
  <x:si>
    <x:t xml:space="preserve">Демографический прогноз до 2046 года</x:t>
  </x:si>
  <x:si>
    <x:t xml:space="preserve">20.10.2023</x:t>
  </x:si>
  <x:si>
    <x:t xml:space="preserve">https://rosstat.gov.ru/folder/313/document/220709</x:t>
  </x:si>
  <x:si>
    <x:t xml:space="preserve">Социальное положение и уровень жизни населения России 2025</x:t>
  </x:si>
  <x:si>
    <x:t xml:space="preserve">https://rosstat.gov.ru/storage/mediabank/Soc_pol_2025.pdf</x:t>
  </x:si>
  <x:si>
    <x:t xml:space="preserve">ВПН-2020. Том 11. Домохозяйства</x:t>
  </x:si>
  <x:si>
    <x:t xml:space="preserve">01.10.2021</x:t>
  </x:si>
  <x:si>
    <x:t xml:space="preserve">https://rosstat.gov.ru/vpn/2020/Tom11_Domokhozyaystva</x:t>
  </x:si>
  <x:si>
    <x:t xml:space="preserve">Жилищное хозяйство в России 2025</x:t>
  </x:si>
  <x:si>
    <x:t xml:space="preserve">2024</x:t>
  </x:si>
  <x:si>
    <x:t xml:space="preserve">https://rosstat.gov.ru/storage/mediabank/Jil_hoz_2025.pdf</x:t>
  </x:si>
  <x:si>
    <x:t xml:space="preserve">Банк России</x:t>
  </x:si>
  <x:si>
    <x:t xml:space="preserve">Рынок ипотечного жилищного кредитования за июль 2026</x:t>
  </x:si>
  <x:si>
    <x:t xml:space="preserve">07.2026</x:t>
  </x:si>
  <x:si>
    <x:t xml:space="preserve">https://www.cbr.ru/Collection/Collection/File/62354/mortgage_lending_market_2607_75.pdf</x:t>
  </x:si>
  <x:si>
    <x:t xml:space="preserve">Среднесрочный прогноз</x:t>
  </x:si>
  <x:si>
    <x:t xml:space="preserve">24.07.2026</x:t>
  </x:si>
  <x:si>
    <x:t xml:space="preserve">https://www.cbr.ru/Content/Document/File/194258/forecast_260724.pdf</x:t>
  </x:si>
  <x:si>
    <x:t xml:space="preserve">Разрыв цен первичного и вторичного рынка</x:t>
  </x:si>
  <x:si>
    <x:t xml:space="preserve">2026</x:t>
  </x:si>
  <x:si>
    <x:t xml:space="preserve">https://www.cbr.ru/press/event/?id=32662</x:t>
  </x:si>
  <x:si>
    <x:t xml:space="preserve">Институт экономики города</x:t>
  </x:si>
  <x:si>
    <x:t xml:space="preserve">Динамика доступности жилья в России</x:t>
  </x:si>
  <x:si>
    <x:t xml:space="preserve">02.07.2026</x:t>
  </x:si>
  <x:si>
    <x:t xml:space="preserve">Tier 2</x:t>
  </x:si>
  <x:si>
    <x:t xml:space="preserve">https://www.urbaneconomics.ru/sites/default/files/dinamika-dostupnosti-zhilya-v-rossii.pdf</x:t>
  </x:si>
  <x:si>
    <x:t xml:space="preserve">Средние цены на первичном и вторичном рынках жилья</x:t>
  </x:si>
  <x:si>
    <x:t xml:space="preserve">2025–2026</x:t>
  </x:si>
  <x:si>
    <x:t xml:space="preserve">https://rosstat.gov.ru/statistics/price</x:t>
  </x:si>
  <x:si>
    <x:t xml:space="preserve">ДОМ.РФ</x:t>
  </x:si>
  <x:si>
    <x:t xml:space="preserve">Макроэкономика и рынок жилья</x:t>
  </x:si>
  <x:si>
    <x:t xml:space="preserve">https://domrfbank.ru/upload/reports/2025/market-overview/macroeconomics/</x:t>
  </x:si>
  <x:si>
    <x:t xml:space="preserve">ЕИСЖС</x:t>
  </x:si>
  <x:si>
    <x:t xml:space="preserve">Реализация квартир в строящихся домах</x:t>
  </x:si>
  <x:si>
    <x:t xml:space="preserve">https://наш.дом.рф/аналитика/реализация_строящихся_квартир</x:t>
  </x:si>
  <x:si>
    <x:t xml:space="preserve">Объекты строительства по регионам</x:t>
  </x:si>
  <x:si>
    <x:t xml:space="preserve">25.08.2026</x:t>
  </x:si>
  <x:si>
    <x:t xml:space="preserve">https://открытыеданные.дом.рф/dataset/0118326e-0d22-4267-b7b9-17a4036beaa4</x:t>
  </x:si>
  <x:si>
    <x:t xml:space="preserve">О жилищном строительстве в 2025 году</x:t>
  </x:si>
  <x:si>
    <x:t xml:space="preserve">https://rosstat.gov.ru/folder/313/document/288267</x:t>
  </x:si>
  <x:si>
    <x:t xml:space="preserve">Правительство России</x:t>
  </x:si>
  <x:si>
    <x:t xml:space="preserve">Национальные цели развития до 2036 года</x:t>
  </x:si>
  <x:si>
    <x:t xml:space="preserve">07.05.2024</x:t>
  </x:si>
  <x:si>
    <x:t xml:space="preserve">https://government.ru/docs/all/153816/</x:t>
  </x:si>
  <x:si>
    <x:t xml:space="preserve">Минэкономразвития</x:t>
  </x:si>
  <x:si>
    <x:t xml:space="preserve">Сценарные условия и прогноз социально-экономического развития</x:t>
  </x:si>
  <x:si>
    <x:t xml:space="preserve">https://economy.gov.ru/material/directions/makroec/prognozy_socialno_ekonomicheskogo_razvitiya/</x:t>
  </x:si>
  <x:si>
    <x:t xml:space="preserve">РБК со ссылкой на ДОМ.РФ</x:t>
  </x:si>
  <x:si>
    <x:t xml:space="preserve">Нераспроданное жилье 83,1 млн м²</x:t>
  </x:si>
  <x:si>
    <x:t xml:space="preserve">Tier 3</x:t>
  </x:si>
  <x:si>
    <x:t xml:space="preserve">https://realty.rbc.ru/news/6a464ccb9a79472beb3fbe1b</x:t>
  </x:si>
  <x:si>
    <x:t xml:space="preserve">ЕРЗ.РФ</x:t>
  </x:si>
  <x:si>
    <x:t xml:space="preserve">Текущее строительство на 1 сентября 2026 года</x:t>
  </x:si>
  <x:si>
    <x:t xml:space="preserve">01.09.2026</x:t>
  </x:si>
  <x:si>
    <x:t xml:space="preserve">https://erzrf.ru/news/article/Opublikovan_TOP_zastrojschikov_Rossii_po_tekuschemu_stroitelstvu_na_1_sentyabrya_2026_goda</x:t>
  </x:si>
  <x:si>
    <x:t xml:space="preserve">Росстат / ЕМИСС</x:t>
  </x:si>
  <x:si>
    <x:t xml:space="preserve">Распределение доходов населения</x:t>
  </x:si>
  <x:si>
    <x:t xml:space="preserve">https://www.fedstat.ru/indicator/31399</x:t>
  </x:si>
  <x:si>
    <x:t xml:space="preserve">Жилищные условия населения</x:t>
  </x:si>
  <x:si>
    <x:t xml:space="preserve">https://www.rosstat.gov.ru/statistics/zhilishhnye_usloviya</x:t>
  </x:si>
  <x:si>
    <x:t xml:space="preserve">Правило</x:t>
  </x:si>
  <x:si>
    <x:t xml:space="preserve">FACT — опубликованное значение; ASSUMPTION — явное допущение; CALCULATION — воспроизводимый расчет; FORECAST — прогноз; UNKNOWN — открытых данных недостаточно.</x:t>
  </x:si>
  <x:si>
    <x:t xml:space="preserve">Критические данные</x:t>
  </x:si>
  <x:si>
    <x:t xml:space="preserve">При конфликте источников приоритет у официальной методологии и более свежей даты. Вторичные публикации используются только при отсутствии доступной первичной таблицы.</x:t>
  </x:si>
  <x:si>
    <x:t xml:space="preserve">Оперативные региональные продажи, качество остатка, рассрочки и инвестиционные сделки раскрываются неполно.</x:t>
  </x:si>
  <x:si>
    <x:t xml:space="preserve">Воспроизводимость</x:t>
  </x:si>
  <x:si>
    <x:t xml:space="preserve">Все формулы модели находятся в листах «Модель спроса», «Баланс предложения», «Ипотека» и «Backtest».</x:t>
  </x:si>
  <x:si>
    <x:t xml:space="preserve">Как устроена модель</x:t>
  </x:si>
  <x:si>
    <x:t xml:space="preserve">Оценка платежеспособного спроса на первичное многоквартирное жилье РФ и устойчивого объема нового предложения на 2026–2035 годы.</x:t>
  </x:si>
  <x:si>
    <x:t xml:space="preserve">Единица анализа</x:t>
  </x:si>
  <x:si>
    <x:t xml:space="preserve">Домохозяйство и покупатель квартиры. Население используется только как демографический фон.</x:t>
  </x:si>
  <x:si>
    <x:t xml:space="preserve">Основной выход</x:t>
  </x:si>
  <x:si>
    <x:t xml:space="preserve">Сценарии</x:t>
  </x:si>
  <x:si>
    <x:t xml:space="preserve">Цвет ввода</x:t>
  </x:si>
  <x:si>
    <x:t xml:space="preserve">Синие значения — редактируемые предпосылки.</x:t>
  </x:si>
  <x:si>
    <x:t xml:space="preserve">Цвет ссылок</x:t>
  </x:si>
  <x:si>
    <x:t xml:space="preserve">Зеленые значения — ссылки на другие листы в рабочих расчетах.</x:t>
  </x:si>
  <x:si>
    <x:t xml:space="preserve">Формулы</x:t>
  </x:si>
  <x:si>
    <x:t xml:space="preserve">Черные значения — формулы текущего листа и результаты.</x:t>
  </x:si>
  <x:si>
    <x:t xml:space="preserve">Потребность</x:t>
  </x:si>
  <x:si>
    <x:t xml:space="preserve">Жилищная потребность не равна платежеспособному спросу и не равна продажам новостроек.</x:t>
  </x:si>
  <x:si>
    <x:t xml:space="preserve">Остаток</x:t>
  </x:si>
  <x:si>
    <x:t xml:space="preserve">Нераспроданный остаток поглощается во времени; модель не вычитает его одномоментно.</x:t>
  </x:si>
  <x:si>
    <x:t xml:space="preserve">Региональность</x:t>
  </x:si>
  <x:si>
    <x:t xml:space="preserve">Национальный баланс не переносит дефицит одного региона на избыток другого.</x:t>
  </x:si>
  <x:si>
    <x:t xml:space="preserve">Точность</x:t>
  </x:si>
  <x:si>
    <x:t xml:space="preserve">Диапазонная. Сценарные и региональные значения не предназначены для оценки отдельного проекта без локальной валидации.</x:t>
  </x:si>
  <x:si>
    <x:t xml:space="preserve">Дата модели</x:t>
  </x:si>
  <x:si>
    <x:t xml:space="preserve">12.09.2026 (актуализация после 2-го контура проверки)</x:t>
  </x:si>
  <x:si>
    <x:t xml:space="preserve">Версия</x:t>
  </x:si>
  <x:si>
    <x:t xml:space="preserve">2.0</x:t>
  </x:si>
  <x:si>
    <x:t xml:space="preserve">Ключевые формулы</x:t>
  </x:si>
  <x:si>
    <x:t xml:space="preserve">Эффективный спрос</x:t>
  </x:si>
  <x:si>
    <x:t xml:space="preserve">Калиброванный спрос сценария + сумма пользовательских шоков.</x:t>
  </x:si>
  <x:si>
    <x:t xml:space="preserve">Покупатели</x:t>
  </x:si>
  <x:si>
    <x:t xml:space="preserve">Эффективный спрос, млн м² / средняя площадь квартиры × 1 000.</x:t>
  </x:si>
  <x:si>
    <x:t xml:space="preserve">Цена предыдущего года × (1 + рост цены).</x:t>
  </x:si>
  <x:si>
    <x:t xml:space="preserve">Остаток на начало + новое предложение − эффективный спрос.</x:t>
  </x:si>
  <x:si>
    <x:t xml:space="preserve">MAX(0; эффективный спрос − поглощение старого остатка).</x:t>
  </x:si>
  <x:si>
    <x:t xml:space="preserve">Остаток на конец / годовой эффективный спрос.</x:t>
  </x:si>
  <x:si>
    <x:t xml:space="preserve">Ипотечный платеж</x:t>
  </x:si>
  <x:si>
    <x:t xml:space="preserve">PMT по ставке, сроку, цене квартиры и первоначальному взносу.</x:t>
  </x:si>
  <x:si>
    <x:t xml:space="preserve">Ограничения версии 2.0</x:t>
  </x:si>
</x:sst>
</file>

<file path=xl/styles.xml><?xml version="1.0" encoding="utf-8"?>
<x:styleSheet xmlns:x="http://schemas.openxmlformats.org/spreadsheetml/2006/main">
  <x:numFmts count="10">
    <x:numFmt numFmtId="164" formatCode="General"/>
    <x:numFmt numFmtId="165" formatCode="0.0"/>
    <x:numFmt numFmtId="166" formatCode="#,##0"/>
    <x:numFmt numFmtId="167" formatCode="General"/>
    <x:numFmt numFmtId="168" formatCode="0"/>
    <x:numFmt numFmtId="169" formatCode="0.000"/>
    <x:numFmt numFmtId="170" formatCode="0.0%"/>
    <x:numFmt numFmtId="171" formatCode="0.00"/>
    <x:numFmt numFmtId="172" formatCode="@"/>
    <x:numFmt numFmtId="173" formatCode="0.00;[RED]\(0.00\);\-"/>
  </x:numFmts>
  <x:fonts count="27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name val="Calibri"/>
    </x:font>
    <x:font>
      <x:sz val="10"/>
      <x:color rgb="FF17212B"/>
      <x:name val="Arial"/>
    </x:font>
    <x:font>
      <x:b/>
      <x:sz val="15"/>
      <x:color rgb="FF18324A"/>
      <x:name val="Arial"/>
    </x:font>
    <x:font>
      <x:b/>
      <x:sz val="10"/>
      <x:color rgb="FF008000"/>
      <x:name val="Arial"/>
    </x:font>
    <x:font>
      <x:b/>
      <x:sz val="9"/>
      <x:color rgb="FF667085"/>
      <x:name val="Arial"/>
    </x:font>
    <x:font>
      <x:b/>
      <x:sz val="14"/>
      <x:color rgb="FF18324A"/>
      <x:name val="Arial"/>
    </x:font>
    <x:font>
      <x:b/>
      <x:sz val="10"/>
      <x:color rgb="FFFFFFFF"/>
      <x:name val="Arial"/>
    </x:font>
    <x:font>
      <x:b/>
      <x:sz val="10"/>
      <x:color rgb="FF18324A"/>
      <x:name val="Arial"/>
    </x:font>
    <x:font>
      <x:b/>
      <x:sz val="9"/>
      <x:color rgb="FF18324A"/>
      <x:name val="Arial"/>
    </x:font>
    <x:font>
      <x:i/>
      <x:sz val="9"/>
      <x:color rgb="FF667085"/>
      <x:name val="Arial"/>
    </x:font>
    <x:font>
      <x:b/>
      <x:sz val="9"/>
      <x:color rgb="FF000000"/>
      <x:name val="Arial"/>
    </x:font>
    <x:font>
      <x:sz val="6"/>
      <x:color rgb="FF000000"/>
      <x:name val="Arial"/>
    </x:font>
    <x:font>
      <x:sz val="10"/>
      <x:color rgb="FF000000"/>
      <x:name val="Arial"/>
    </x:font>
    <x:font>
      <x:b/>
      <x:sz val="11"/>
      <x:color rgb="FF0000FF"/>
      <x:name val="Arial"/>
    </x:font>
    <x:font>
      <x:b/>
      <x:sz val="11"/>
      <x:color rgb="FF008000"/>
      <x:name val="Arial"/>
    </x:font>
    <x:font>
      <x:sz val="10"/>
      <x:color rgb="FF0000FF"/>
      <x:name val="Arial"/>
    </x:font>
    <x:font>
      <x:sz val="11"/>
      <x:color rgb="FF17212B"/>
      <x:name val="Arial"/>
    </x:font>
    <x:font>
      <x:b/>
      <x:sz val="10"/>
      <x:color rgb="FF17212B"/>
      <x:name val="Arial"/>
    </x:font>
    <x:font>
      <x:b/>
      <x:sz val="11"/>
      <x:color rgb="FF17212B"/>
      <x:name val="Arial"/>
    </x:font>
    <x:font>
      <x:sz val="11"/>
      <x:color rgb="FF0000FF"/>
      <x:name val="Arial"/>
    </x:font>
    <x:font>
      <x:sz val="11"/>
      <x:color rgb="FF667085"/>
      <x:name val="Arial"/>
    </x:font>
    <x:font>
      <x:sz val="10"/>
      <x:color rgb="FF008000"/>
      <x:name val="Arial"/>
    </x:font>
    <x:font>
      <x:sz val="9"/>
      <x:color rgb="FF2E5E86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E8F2EC"/>
      </x:patternFill>
    </x:fill>
    <x:fill>
      <x:patternFill patternType="solid">
        <x:fgColor rgb="FFEAF2F8"/>
      </x:patternFill>
    </x:fill>
    <x:fill>
      <x:patternFill patternType="solid">
        <x:fgColor rgb="FF18324A"/>
      </x:patternFill>
    </x:fill>
    <x:fill>
      <x:patternFill patternType="solid">
        <x:fgColor rgb="FF2E5E86"/>
      </x:patternFill>
    </x:fill>
    <x:fill>
      <x:patternFill patternType="solid">
        <x:fgColor rgb="FFFFF3CD"/>
      </x:patternFill>
    </x:fill>
    <x:fill>
      <x:patternFill patternType="solid">
        <x:fgColor rgb="FFFCEFEF"/>
      </x:patternFill>
    </x:fill>
    <x:fill>
      <x:patternFill patternType="solid">
        <x:fgColor rgb="FFEAF1FB"/>
      </x:patternFill>
    </x:fill>
    <x:fill>
      <x:patternFill patternType="solid">
        <x:fgColor rgb="FFEFEFEF"/>
      </x:patternFill>
    </x:fill>
  </x:fills>
  <x:borders count="12">
    <x:border diagonalUp="0" diagonalDown="0"/>
    <x:border diagonalUp="0" diagonalDown="0">
      <x:bottom style="thin">
        <x:color rgb="FF2E5E86"/>
      </x:bottom>
    </x:border>
    <x:border diagonalUp="0" diagonalDown="0">
      <x:left style="dashed">
        <x:color rgb="FF2F7D7A"/>
      </x:left>
      <x:right style="dashed">
        <x:color rgb="FF2F7D7A"/>
      </x:right>
      <x:top style="dashed">
        <x:color rgb="FF2F7D7A"/>
      </x:top>
      <x:bottom style="dashed">
        <x:color rgb="FF2F7D7A"/>
      </x:bottom>
    </x:border>
    <x:border diagonalUp="0" diagonalDown="0">
      <x:bottom style="thin">
        <x:color rgb="FFD8DEE6"/>
      </x:bottom>
    </x:border>
    <x:border diagonalUp="0" diagonalDown="0">
      <x:bottom style="medium">
        <x:color rgb="FF2E5E86"/>
      </x:bottom>
    </x:border>
    <x:border diagonalUp="0" diagonalDown="0">
      <x:top style="thin">
        <x:color rgb="FFD8DEE6"/>
      </x:top>
      <x:bottom style="thin">
        <x:color rgb="FFD8DEE6"/>
      </x:bottom>
    </x:border>
    <x:border diagonalUp="0" diagonalDown="0">
      <x:top style="thin">
        <x:color rgb="FFD8DEE6"/>
      </x:top>
    </x:border>
    <x:border diagonalUp="0" diagonalDown="0">
      <x:right style="thin">
        <x:color rgb="FFFFFFFF"/>
      </x:right>
      <x:bottom style="thin">
        <x:color rgb="FF18324A"/>
      </x:bottom>
    </x:border>
    <x:border diagonalUp="0" diagonalDown="0">
      <x:left style="thin">
        <x:color rgb="FFFFFFFF"/>
      </x:left>
      <x:right style="thin">
        <x:color rgb="FFFFFFFF"/>
      </x:right>
      <x:bottom style="thin">
        <x:color rgb="FF18324A"/>
      </x:bottom>
    </x:border>
    <x:border diagonalUp="0" diagonalDown="0">
      <x:left style="thin">
        <x:color rgb="FFFFFFFF"/>
      </x:left>
      <x:bottom style="thin">
        <x:color rgb="FF18324A"/>
      </x:bottom>
    </x:border>
    <x:border diagonalUp="0" diagonalDown="0">
      <x:left style="medium">
        <x:color rgb="FF9A6700"/>
      </x:left>
      <x:right style="medium">
        <x:color rgb="FF9A6700"/>
      </x:right>
      <x:top style="medium">
        <x:color rgb="FF9A6700"/>
      </x:top>
      <x:bottom style="medium">
        <x:color rgb="FF9A6700"/>
      </x:bottom>
    </x:border>
    <x:border diagonalUp="0" diagonalDown="0">
      <x:bottom style="thin">
        <x:color rgb="FF2F7D7A"/>
      </x:bottom>
    </x:border>
  </x:borders>
  <x:cellStyleXfs count="21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4" fontId="4" fillId="0" borderId="0" applyFont="1" applyBorder="1" applyAlignment="1" applyProtection="1">
      <x:alignment horizontal="general" vertical="bottom" wrapText="0" shrinkToFit="0"/>
      <x:protection locked="1" hidden="0"/>
    </x:xf>
  </x:cellStyleXfs>
  <x:cellXfs count="132">
    <x:xf numFmtId="164" fontId="0" fillId="0" borderId="0" xfId="0" applyFont="0" applyBorder="0" applyAlignment="0">
      <x:alignment horizontal="general" vertical="bottom" wrapText="0"/>
    </x:xf>
    <x:xf numFmtId="164" fontId="5" fillId="0" borderId="0" xfId="20" applyFont="1" applyBorder="0" applyAlignment="1">
      <x:alignment horizontal="general" vertical="center" wrapText="0"/>
    </x:xf>
    <x:xf numFmtId="164" fontId="6" fillId="0" borderId="0" xfId="20" applyFont="1" applyBorder="0" applyAlignment="1">
      <x:alignment horizontal="general" vertical="center" wrapText="0"/>
    </x:xf>
    <x:xf numFmtId="164" fontId="5" fillId="0" borderId="1" xfId="20" applyFont="1" applyBorder="1" applyAlignment="1">
      <x:alignment horizontal="general" vertical="center" wrapText="0"/>
    </x:xf>
    <x:xf numFmtId="164" fontId="7" fillId="2" borderId="2" xfId="20" applyFont="1" applyBorder="1" applyAlignment="1">
      <x:alignment horizontal="center" vertical="center" wrapText="0"/>
    </x:xf>
    <x:xf numFmtId="164" fontId="5" fillId="0" borderId="3" xfId="20" applyFont="1" applyBorder="1" applyAlignment="1">
      <x:alignment horizontal="general" vertical="center" wrapText="0"/>
    </x:xf>
    <x:xf numFmtId="164" fontId="8" fillId="3" borderId="0" xfId="20" applyFont="1" applyBorder="0" applyAlignment="1">
      <x:alignment horizontal="center" vertical="center" wrapText="0"/>
    </x:xf>
    <x:xf numFmtId="165" fontId="9" fillId="3" borderId="0" xfId="20" applyFont="1" applyBorder="0" applyAlignment="1">
      <x:alignment horizontal="center" vertical="center" wrapText="0"/>
    </x:xf>
    <x:xf numFmtId="164" fontId="9" fillId="3" borderId="0" xfId="20" applyFont="1" applyBorder="0" applyAlignment="1">
      <x:alignment horizontal="center" vertical="center" wrapText="0"/>
    </x:xf>
    <x:xf numFmtId="166" fontId="9" fillId="3" borderId="0" xfId="20" applyFont="1" applyBorder="0" applyAlignment="1">
      <x:alignment horizontal="center" vertical="center" wrapText="0"/>
    </x:xf>
    <x:xf numFmtId="164" fontId="9" fillId="3" borderId="4" xfId="20" applyFont="1" applyBorder="1" applyAlignment="1">
      <x:alignment horizontal="center" vertical="center" wrapText="0"/>
    </x:xf>
    <x:xf numFmtId="164" fontId="10" fillId="4" borderId="0" xfId="20" applyFont="1" applyBorder="0" applyAlignment="1">
      <x:alignment horizontal="general" vertical="center" wrapText="0"/>
    </x:xf>
    <x:xf numFmtId="164" fontId="11" fillId="0" borderId="3" xfId="20" applyFont="1" applyBorder="1" applyAlignment="1">
      <x:alignment horizontal="general" vertical="center" wrapText="0"/>
    </x:xf>
    <x:xf numFmtId="164" fontId="5" fillId="0" borderId="3" xfId="20" applyFont="1" applyBorder="1" applyAlignment="1">
      <x:alignment horizontal="general" vertical="center" wrapText="1"/>
    </x:xf>
    <x:xf numFmtId="164" fontId="11" fillId="0" borderId="5" xfId="20" applyFont="1" applyBorder="1" applyAlignment="1">
      <x:alignment horizontal="general" vertical="center" wrapText="0"/>
    </x:xf>
    <x:xf numFmtId="164" fontId="5" fillId="0" borderId="5" xfId="20" applyFont="1" applyBorder="1" applyAlignment="1">
      <x:alignment horizontal="general" vertical="center" wrapText="1"/>
    </x:xf>
    <x:xf numFmtId="164" fontId="11" fillId="0" borderId="6" xfId="20" applyFont="1" applyBorder="1" applyAlignment="1">
      <x:alignment horizontal="general" vertical="center" wrapText="0"/>
    </x:xf>
    <x:xf numFmtId="164" fontId="5" fillId="0" borderId="6" xfId="20" applyFont="1" applyBorder="1" applyAlignment="1">
      <x:alignment horizontal="general" vertical="center" wrapText="1"/>
    </x:xf>
    <x:xf numFmtId="164" fontId="10" fillId="5" borderId="7" xfId="20" applyFont="1" applyBorder="1" applyAlignment="1">
      <x:alignment horizontal="center" vertical="center" wrapText="1"/>
    </x:xf>
    <x:xf numFmtId="164" fontId="10" fillId="5" borderId="8" xfId="20" applyFont="1" applyBorder="1" applyAlignment="1">
      <x:alignment horizontal="center" vertical="center" wrapText="1"/>
    </x:xf>
    <x:xf numFmtId="164" fontId="10" fillId="5" borderId="9" xfId="20" applyFont="1" applyBorder="1" applyAlignment="1">
      <x:alignment horizontal="center" vertical="center" wrapText="1"/>
    </x:xf>
    <x:xf numFmtId="165" fontId="5" fillId="0" borderId="3" xfId="20" applyFont="1" applyBorder="1" applyAlignment="1">
      <x:alignment horizontal="general" vertical="center" wrapText="0"/>
    </x:xf>
    <x:xf numFmtId="167" fontId="5" fillId="0" borderId="5" xfId="20" applyFont="1" applyBorder="1" applyAlignment="1">
      <x:alignment horizontal="general" vertical="center" wrapText="0"/>
    </x:xf>
    <x:xf numFmtId="165" fontId="5" fillId="0" borderId="5" xfId="20" applyFont="1" applyBorder="1" applyAlignment="1">
      <x:alignment horizontal="general" vertical="center" wrapText="0"/>
    </x:xf>
    <x:xf numFmtId="167" fontId="5" fillId="0" borderId="6" xfId="20" applyFont="1" applyBorder="1" applyAlignment="1">
      <x:alignment horizontal="general" vertical="center" wrapText="0"/>
    </x:xf>
    <x:xf numFmtId="165" fontId="5" fillId="0" borderId="6" xfId="20" applyFont="1" applyBorder="1" applyAlignment="1">
      <x:alignment horizontal="general" vertical="center" wrapText="0"/>
    </x:xf>
    <x:xf numFmtId="164" fontId="12" fillId="0" borderId="0" xfId="20" applyFont="1" applyBorder="0" applyAlignment="1">
      <x:alignment horizontal="general" vertical="center" wrapText="0"/>
    </x:xf>
    <x:xf numFmtId="164" fontId="13" fillId="0" borderId="0" xfId="20" applyFont="1" applyBorder="0" applyAlignment="1">
      <x:alignment horizontal="general" vertical="center" wrapText="1"/>
    </x:xf>
    <x:xf numFmtId="164" fontId="17" fillId="6" borderId="10" xfId="20" applyFont="1" applyBorder="1" applyAlignment="1">
      <x:alignment horizontal="center" vertical="center" wrapText="0"/>
    </x:xf>
    <x:xf numFmtId="164" fontId="18" fillId="2" borderId="2" xfId="20" applyFont="1" applyBorder="1" applyAlignment="1">
      <x:alignment horizontal="center" vertical="center" wrapText="0"/>
    </x:xf>
    <x:xf numFmtId="164" fontId="13" fillId="0" borderId="0" xfId="20" applyFont="1" applyBorder="0" applyAlignment="1">
      <x:alignment horizontal="general" vertical="center" wrapText="0"/>
    </x:xf>
    <x:xf numFmtId="165" fontId="19" fillId="0" borderId="3" xfId="20" applyFont="1" applyBorder="1" applyAlignment="1">
      <x:alignment horizontal="general" vertical="center" wrapText="0"/>
    </x:xf>
    <x:xf numFmtId="164" fontId="19" fillId="6" borderId="3" xfId="20" applyFont="1" applyBorder="1" applyAlignment="1">
      <x:alignment horizontal="general" vertical="center" wrapText="0"/>
    </x:xf>
    <x:xf numFmtId="169" fontId="5" fillId="0" borderId="3" xfId="20" applyFont="1" applyBorder="1" applyAlignment="1">
      <x:alignment horizontal="general" vertical="center" wrapText="0"/>
    </x:xf>
    <x:xf numFmtId="165" fontId="19" fillId="0" borderId="5" xfId="20" applyFont="1" applyBorder="1" applyAlignment="1">
      <x:alignment horizontal="general" vertical="center" wrapText="0"/>
    </x:xf>
    <x:xf numFmtId="164" fontId="19" fillId="6" borderId="5" xfId="20" applyFont="1" applyBorder="1" applyAlignment="1">
      <x:alignment horizontal="general" vertical="center" wrapText="0"/>
    </x:xf>
    <x:xf numFmtId="169" fontId="5" fillId="0" borderId="5" xfId="20" applyFont="1" applyBorder="1" applyAlignment="1">
      <x:alignment horizontal="general" vertical="center" wrapText="0"/>
    </x:xf>
    <x:xf numFmtId="166" fontId="19" fillId="0" borderId="5" xfId="20" applyFont="1" applyBorder="1" applyAlignment="1">
      <x:alignment horizontal="general" vertical="center" wrapText="0"/>
    </x:xf>
    <x:xf numFmtId="166" fontId="20" fillId="0" borderId="5" xfId="20" applyFont="1" applyBorder="1" applyAlignment="1">
      <x:alignment horizontal="general" vertical="center" wrapText="0"/>
    </x:xf>
    <x:xf numFmtId="164" fontId="19" fillId="6" borderId="6" xfId="20" applyFont="1" applyBorder="1" applyAlignment="1">
      <x:alignment horizontal="general" vertical="center" wrapText="0"/>
    </x:xf>
    <x:xf numFmtId="169" fontId="5" fillId="0" borderId="6" xfId="20" applyFont="1" applyBorder="1" applyAlignment="1">
      <x:alignment horizontal="general" vertical="center" wrapText="0"/>
    </x:xf>
    <x:xf numFmtId="170" fontId="19" fillId="0" borderId="5" xfId="20" applyFont="1" applyBorder="1" applyAlignment="1">
      <x:alignment horizontal="general" vertical="center" wrapText="0"/>
    </x:xf>
    <x:xf numFmtId="168" fontId="19" fillId="0" borderId="5" xfId="20" applyFont="1" applyBorder="1" applyAlignment="1">
      <x:alignment horizontal="general" vertical="center" wrapText="0"/>
    </x:xf>
    <x:xf numFmtId="168" fontId="19" fillId="0" borderId="6" xfId="20" applyFont="1" applyBorder="1" applyAlignment="1">
      <x:alignment horizontal="general" vertical="center" wrapText="0"/>
    </x:xf>
    <x:xf numFmtId="164" fontId="21" fillId="2" borderId="11" xfId="20" applyFont="1" applyBorder="1" applyAlignment="1">
      <x:alignment horizontal="general" vertical="center" wrapText="0"/>
    </x:xf>
    <x:xf numFmtId="171" fontId="21" fillId="2" borderId="11" xfId="20" applyFont="1" applyBorder="1" applyAlignment="1">
      <x:alignment horizontal="general" vertical="center" wrapText="0"/>
    </x:xf>
    <x:xf numFmtId="171" fontId="19" fillId="0" borderId="0" xfId="20" applyFont="1" applyBorder="0" applyAlignment="1">
      <x:alignment horizontal="general" vertical="center" wrapText="0"/>
    </x:xf>
    <x:xf numFmtId="165" fontId="21" fillId="2" borderId="11" xfId="20" applyFont="1" applyBorder="1" applyAlignment="1">
      <x:alignment horizontal="general" vertical="center" wrapText="0"/>
    </x:xf>
    <x:xf numFmtId="165" fontId="19" fillId="0" borderId="0" xfId="20" applyFont="1" applyBorder="0" applyAlignment="1">
      <x:alignment horizontal="general" vertical="center" wrapText="0"/>
    </x:xf>
    <x:xf numFmtId="170" fontId="21" fillId="2" borderId="11" xfId="20" applyFont="1" applyBorder="1" applyAlignment="1">
      <x:alignment horizontal="general" vertical="center" wrapText="0"/>
    </x:xf>
    <x:xf numFmtId="170" fontId="19" fillId="0" borderId="0" xfId="20" applyFont="1" applyBorder="0" applyAlignment="1">
      <x:alignment horizontal="general" vertical="center" wrapText="0"/>
    </x:xf>
    <x:xf numFmtId="164" fontId="22" fillId="2" borderId="0" xfId="20" applyFont="1" applyBorder="0" applyAlignment="1">
      <x:alignment horizontal="general" vertical="center" wrapText="0"/>
    </x:xf>
    <x:xf numFmtId="164" fontId="5" fillId="2" borderId="0" xfId="20" applyFont="1" applyBorder="0" applyAlignment="1">
      <x:alignment horizontal="general" vertical="center" wrapText="0"/>
    </x:xf>
    <x:xf numFmtId="164" fontId="22" fillId="0" borderId="0" xfId="20" applyFont="1" applyBorder="0" applyAlignment="1">
      <x:alignment horizontal="general" vertical="center" wrapText="0"/>
    </x:xf>
    <x:xf numFmtId="164" fontId="20" fillId="0" borderId="0" xfId="20" applyFont="1" applyBorder="0" applyAlignment="1">
      <x:alignment horizontal="general" vertical="center" wrapText="0"/>
    </x:xf>
    <x:xf numFmtId="165" fontId="23" fillId="0" borderId="0" xfId="20" applyFont="1" applyBorder="0" applyAlignment="1">
      <x:alignment horizontal="general" vertical="center" wrapText="0"/>
    </x:xf>
    <x:xf numFmtId="168" fontId="23" fillId="0" borderId="0" xfId="20" applyFont="1" applyBorder="0" applyAlignment="1">
      <x:alignment horizontal="general" vertical="center" wrapText="0"/>
    </x:xf>
    <x:xf numFmtId="168" fontId="20" fillId="0" borderId="0" xfId="20" applyFont="1" applyBorder="0" applyAlignment="1">
      <x:alignment horizontal="general" vertical="center" wrapText="0"/>
    </x:xf>
    <x:xf numFmtId="164" fontId="24" fillId="0" borderId="0" xfId="20" applyFont="1" applyBorder="0" applyAlignment="1">
      <x:alignment horizontal="general" vertical="center" wrapText="0"/>
    </x:xf>
    <x:xf numFmtId="164" fontId="24" fillId="0" borderId="0" xfId="20" applyFont="1" applyBorder="0" applyAlignment="1">
      <x:alignment horizontal="general" vertical="top" wrapText="1"/>
    </x:xf>
    <x:xf numFmtId="164" fontId="22" fillId="7" borderId="0" xfId="20" applyFont="1" applyBorder="0" applyAlignment="1">
      <x:alignment horizontal="general" vertical="center" wrapText="0"/>
    </x:xf>
    <x:xf numFmtId="164" fontId="24" fillId="7" borderId="0" xfId="20" applyFont="1" applyBorder="1" applyAlignment="1">
      <x:alignment horizontal="general" vertical="top" wrapText="1"/>
    </x:xf>
    <x:xf numFmtId="171" fontId="23" fillId="0" borderId="0" xfId="20" applyFont="1" applyBorder="0" applyAlignment="1">
      <x:alignment horizontal="general" vertical="center" wrapText="0"/>
    </x:xf>
    <x:xf numFmtId="165" fontId="20" fillId="0" borderId="0" xfId="20" applyFont="1" applyBorder="0" applyAlignment="1">
      <x:alignment horizontal="general" vertical="center" wrapText="0"/>
    </x:xf>
    <x:xf numFmtId="164" fontId="24" fillId="0" borderId="0" xfId="20" applyFont="1" applyBorder="1" applyAlignment="1">
      <x:alignment horizontal="general" vertical="top" wrapText="1"/>
    </x:xf>
    <x:xf numFmtId="171" fontId="25" fillId="0" borderId="3" xfId="20" applyFont="1" applyBorder="1" applyAlignment="1">
      <x:alignment horizontal="general" vertical="center" wrapText="0"/>
    </x:xf>
    <x:xf numFmtId="165" fontId="25" fillId="0" borderId="3" xfId="20" applyFont="1" applyBorder="1" applyAlignment="1">
      <x:alignment horizontal="general" vertical="center" wrapText="0"/>
    </x:xf>
    <x:xf numFmtId="170" fontId="25" fillId="0" borderId="3" xfId="20" applyFont="1" applyBorder="1" applyAlignment="1">
      <x:alignment horizontal="general" vertical="center" wrapText="0"/>
    </x:xf>
    <x:xf numFmtId="171" fontId="5" fillId="0" borderId="3" xfId="20" applyFont="1" applyBorder="1" applyAlignment="1">
      <x:alignment horizontal="general" vertical="center" wrapText="0"/>
    </x:xf>
    <x:xf numFmtId="171" fontId="5" fillId="2" borderId="3" xfId="20" applyFont="1" applyBorder="1" applyAlignment="1">
      <x:alignment horizontal="general" vertical="center" wrapText="0"/>
    </x:xf>
    <x:xf numFmtId="166" fontId="5" fillId="2" borderId="3" xfId="20" applyFont="1" applyBorder="1" applyAlignment="1">
      <x:alignment horizontal="general" vertical="center" wrapText="0"/>
    </x:xf>
    <x:xf numFmtId="171" fontId="25" fillId="0" borderId="5" xfId="20" applyFont="1" applyBorder="1" applyAlignment="1">
      <x:alignment horizontal="general" vertical="center" wrapText="0"/>
    </x:xf>
    <x:xf numFmtId="165" fontId="25" fillId="0" borderId="5" xfId="20" applyFont="1" applyBorder="1" applyAlignment="1">
      <x:alignment horizontal="general" vertical="center" wrapText="0"/>
    </x:xf>
    <x:xf numFmtId="170" fontId="25" fillId="0" borderId="5" xfId="20" applyFont="1" applyBorder="1" applyAlignment="1">
      <x:alignment horizontal="general" vertical="center" wrapText="0"/>
    </x:xf>
    <x:xf numFmtId="171" fontId="5" fillId="0" borderId="5" xfId="20" applyFont="1" applyBorder="1" applyAlignment="1">
      <x:alignment horizontal="general" vertical="center" wrapText="0"/>
    </x:xf>
    <x:xf numFmtId="171" fontId="5" fillId="2" borderId="5" xfId="20" applyFont="1" applyBorder="1" applyAlignment="1">
      <x:alignment horizontal="general" vertical="center" wrapText="0"/>
    </x:xf>
    <x:xf numFmtId="166" fontId="5" fillId="2" borderId="5" xfId="20" applyFont="1" applyBorder="1" applyAlignment="1">
      <x:alignment horizontal="general" vertical="center" wrapText="0"/>
    </x:xf>
    <x:xf numFmtId="171" fontId="25" fillId="0" borderId="6" xfId="20" applyFont="1" applyBorder="1" applyAlignment="1">
      <x:alignment horizontal="general" vertical="center" wrapText="0"/>
    </x:xf>
    <x:xf numFmtId="165" fontId="25" fillId="0" borderId="6" xfId="20" applyFont="1" applyBorder="1" applyAlignment="1">
      <x:alignment horizontal="general" vertical="center" wrapText="0"/>
    </x:xf>
    <x:xf numFmtId="170" fontId="25" fillId="0" borderId="6" xfId="20" applyFont="1" applyBorder="1" applyAlignment="1">
      <x:alignment horizontal="general" vertical="center" wrapText="0"/>
    </x:xf>
    <x:xf numFmtId="171" fontId="5" fillId="0" borderId="6" xfId="20" applyFont="1" applyBorder="1" applyAlignment="1">
      <x:alignment horizontal="general" vertical="center" wrapText="0"/>
    </x:xf>
    <x:xf numFmtId="171" fontId="5" fillId="2" borderId="6" xfId="20" applyFont="1" applyBorder="1" applyAlignment="1">
      <x:alignment horizontal="general" vertical="center" wrapText="0"/>
    </x:xf>
    <x:xf numFmtId="166" fontId="5" fillId="2" borderId="6" xfId="20" applyFont="1" applyBorder="1" applyAlignment="1">
      <x:alignment horizontal="general" vertical="center" wrapText="0"/>
    </x:xf>
    <x:xf numFmtId="164" fontId="22" fillId="5" borderId="9" xfId="20" applyFont="1" applyBorder="1" applyAlignment="1">
      <x:alignment horizontal="center" vertical="center" wrapText="1"/>
    </x:xf>
    <x:xf numFmtId="167" fontId="25" fillId="0" borderId="3" xfId="20" applyFont="1" applyBorder="1" applyAlignment="1">
      <x:alignment horizontal="general" vertical="center" wrapText="0"/>
    </x:xf>
    <x:xf numFmtId="171" fontId="5" fillId="8" borderId="3" xfId="20" applyFont="1" applyBorder="1" applyAlignment="1">
      <x:alignment horizontal="general" vertical="center" wrapText="0"/>
    </x:xf>
    <x:xf numFmtId="171" fontId="25" fillId="8" borderId="3" xfId="20" applyFont="1" applyBorder="1" applyAlignment="1">
      <x:alignment horizontal="general" vertical="center" wrapText="0"/>
    </x:xf>
    <x:xf numFmtId="172" fontId="24" fillId="0" borderId="3" xfId="20" applyFont="1" applyBorder="1" applyAlignment="1">
      <x:alignment horizontal="general" vertical="center" wrapText="0"/>
    </x:xf>
    <x:xf numFmtId="167" fontId="25" fillId="0" borderId="5" xfId="20" applyFont="1" applyBorder="1" applyAlignment="1">
      <x:alignment horizontal="general" vertical="center" wrapText="0"/>
    </x:xf>
    <x:xf numFmtId="171" fontId="5" fillId="8" borderId="5" xfId="20" applyFont="1" applyBorder="1" applyAlignment="1">
      <x:alignment horizontal="general" vertical="center" wrapText="0"/>
    </x:xf>
    <x:xf numFmtId="171" fontId="25" fillId="8" borderId="5" xfId="20" applyFont="1" applyBorder="1" applyAlignment="1">
      <x:alignment horizontal="general" vertical="center" wrapText="0"/>
    </x:xf>
    <x:xf numFmtId="172" fontId="24" fillId="0" borderId="5" xfId="20" applyFont="1" applyBorder="1" applyAlignment="1">
      <x:alignment horizontal="general" vertical="center" wrapText="0"/>
    </x:xf>
    <x:xf numFmtId="167" fontId="25" fillId="0" borderId="6" xfId="20" applyFont="1" applyBorder="1" applyAlignment="1">
      <x:alignment horizontal="general" vertical="center" wrapText="0"/>
    </x:xf>
    <x:xf numFmtId="171" fontId="5" fillId="8" borderId="6" xfId="20" applyFont="1" applyBorder="1" applyAlignment="1">
      <x:alignment horizontal="general" vertical="center" wrapText="0"/>
    </x:xf>
    <x:xf numFmtId="171" fontId="25" fillId="8" borderId="6" xfId="20" applyFont="1" applyBorder="1" applyAlignment="1">
      <x:alignment horizontal="general" vertical="center" wrapText="0"/>
    </x:xf>
    <x:xf numFmtId="172" fontId="24" fillId="0" borderId="6" xfId="20" applyFont="1" applyBorder="1" applyAlignment="1">
      <x:alignment horizontal="general" vertical="center" wrapText="0"/>
    </x:xf>
    <x:xf numFmtId="164" fontId="20" fillId="9" borderId="0" xfId="20" applyFont="1" applyBorder="0" applyAlignment="1">
      <x:alignment horizontal="general" vertical="center" wrapText="0"/>
    </x:xf>
    <x:xf numFmtId="165" fontId="20" fillId="9" borderId="0" xfId="20" applyFont="1" applyBorder="0" applyAlignment="1">
      <x:alignment horizontal="general" vertical="center" wrapText="0"/>
    </x:xf>
    <x:xf numFmtId="164" fontId="24" fillId="9" borderId="0" xfId="20" applyFont="1" applyBorder="0" applyAlignment="1">
      <x:alignment horizontal="general" vertical="center" wrapText="0"/>
    </x:xf>
    <x:xf numFmtId="164" fontId="22" fillId="2" borderId="0" xfId="20" applyFont="1" applyBorder="0" applyAlignment="0">
      <x:alignment horizontal="general" vertical="bottom" wrapText="0"/>
    </x:xf>
    <x:xf numFmtId="164" fontId="4" fillId="2" borderId="0" xfId="20" applyFont="0" applyBorder="0" applyAlignment="0">
      <x:alignment horizontal="general" vertical="bottom" wrapText="0"/>
    </x:xf>
    <x:xf numFmtId="164" fontId="20" fillId="0" borderId="0" xfId="20" applyFont="1" applyBorder="0" applyAlignment="0">
      <x:alignment horizontal="general" vertical="bottom" wrapText="0"/>
    </x:xf>
    <x:xf numFmtId="165" fontId="23" fillId="0" borderId="0" xfId="20" applyFont="1" applyBorder="0" applyAlignment="0">
      <x:alignment horizontal="general" vertical="bottom" wrapText="0"/>
    </x:xf>
    <x:xf numFmtId="165" fontId="20" fillId="0" borderId="0" xfId="20" applyFont="1" applyBorder="0" applyAlignment="0">
      <x:alignment horizontal="general" vertical="bottom" wrapText="0"/>
    </x:xf>
    <x:xf numFmtId="164" fontId="24" fillId="0" borderId="0" xfId="20" applyFont="1" applyBorder="0" applyAlignment="0">
      <x:alignment horizontal="general" vertical="bottom" wrapText="0"/>
    </x:xf>
    <x:xf numFmtId="164" fontId="22" fillId="0" borderId="0" xfId="20" applyFont="1" applyBorder="0" applyAlignment="0">
      <x:alignment horizontal="general" vertical="bottom" wrapText="0"/>
    </x:xf>
    <x:xf numFmtId="165" fontId="25" fillId="0" borderId="0" xfId="20" applyFont="1" applyBorder="0" applyAlignment="1">
      <x:alignment horizontal="general" vertical="center" wrapText="0"/>
    </x:xf>
    <x:xf numFmtId="166" fontId="25" fillId="0" borderId="0" xfId="20" applyFont="1" applyBorder="0" applyAlignment="1">
      <x:alignment horizontal="general" vertical="center" wrapText="0"/>
    </x:xf>
    <x:xf numFmtId="170" fontId="25" fillId="0" borderId="0" xfId="20" applyFont="1" applyBorder="0" applyAlignment="1">
      <x:alignment horizontal="general" vertical="center" wrapText="0"/>
    </x:xf>
    <x:xf numFmtId="168" fontId="25" fillId="0" borderId="0" xfId="20" applyFont="1" applyBorder="0" applyAlignment="1">
      <x:alignment horizontal="general" vertical="center" wrapText="0"/>
    </x:xf>
    <x:xf numFmtId="170" fontId="19" fillId="0" borderId="3" xfId="20" applyFont="1" applyBorder="1" applyAlignment="1">
      <x:alignment horizontal="general" vertical="center" wrapText="0"/>
    </x:xf>
    <x:xf numFmtId="170" fontId="5" fillId="0" borderId="3" xfId="20" applyFont="1" applyBorder="1" applyAlignment="1">
      <x:alignment horizontal="general" vertical="center" wrapText="0"/>
    </x:xf>
    <x:xf numFmtId="170" fontId="5" fillId="0" borderId="5" xfId="20" applyFont="1" applyBorder="1" applyAlignment="1">
      <x:alignment horizontal="general" vertical="center" wrapText="0"/>
    </x:xf>
    <x:xf numFmtId="164" fontId="5" fillId="0" borderId="5" xfId="20" applyFont="1" applyBorder="1" applyAlignment="1">
      <x:alignment horizontal="general" vertical="center" wrapText="0"/>
    </x:xf>
    <x:xf numFmtId="170" fontId="19" fillId="0" borderId="6" xfId="20" applyFont="1" applyBorder="1" applyAlignment="1">
      <x:alignment horizontal="general" vertical="center" wrapText="0"/>
    </x:xf>
    <x:xf numFmtId="170" fontId="5" fillId="0" borderId="6" xfId="20" applyFont="1" applyBorder="1" applyAlignment="1">
      <x:alignment horizontal="general" vertical="center" wrapText="0"/>
    </x:xf>
    <x:xf numFmtId="164" fontId="5" fillId="0" borderId="6" xfId="20" applyFont="1" applyBorder="1" applyAlignment="1">
      <x:alignment horizontal="general" vertical="center" wrapText="0"/>
    </x:xf>
    <x:xf numFmtId="173" fontId="5" fillId="0" borderId="3" xfId="20" applyFont="1" applyBorder="1" applyAlignment="1">
      <x:alignment horizontal="general" vertical="center" wrapText="0"/>
    </x:xf>
    <x:xf numFmtId="173" fontId="5" fillId="0" borderId="5" xfId="20" applyFont="1" applyBorder="1" applyAlignment="1">
      <x:alignment horizontal="general" vertical="center" wrapText="0"/>
    </x:xf>
    <x:xf numFmtId="173" fontId="5" fillId="0" borderId="6" xfId="20" applyFont="1" applyBorder="1" applyAlignment="1">
      <x:alignment horizontal="general" vertical="center" wrapText="0"/>
    </x:xf>
    <x:xf numFmtId="171" fontId="20" fillId="0" borderId="0" xfId="20" applyFont="1" applyBorder="0" applyAlignment="1">
      <x:alignment horizontal="general" vertical="center" wrapText="0"/>
    </x:xf>
    <x:xf numFmtId="164" fontId="20" fillId="0" borderId="0" xfId="20" applyFont="1" applyBorder="0" applyAlignment="1">
      <x:alignment horizontal="general" vertical="top" wrapText="1"/>
    </x:xf>
    <x:xf numFmtId="170" fontId="5" fillId="0" borderId="0" xfId="20" applyFont="1" applyBorder="0" applyAlignment="1">
      <x:alignment horizontal="general" vertical="center" wrapText="0"/>
    </x:xf>
    <x:xf numFmtId="171" fontId="5" fillId="0" borderId="0" xfId="20" applyFont="1" applyBorder="0" applyAlignment="1">
      <x:alignment horizontal="general" vertical="center" wrapText="0"/>
    </x:xf>
    <x:xf numFmtId="164" fontId="26" fillId="0" borderId="3" xfId="20" applyFont="1" applyBorder="1" applyAlignment="1">
      <x:alignment horizontal="general" vertical="center" wrapText="0"/>
    </x:xf>
    <x:xf numFmtId="164" fontId="26" fillId="0" borderId="5" xfId="20" applyFont="1" applyBorder="1" applyAlignment="1">
      <x:alignment horizontal="general" vertical="center" wrapText="0"/>
    </x:xf>
    <x:xf numFmtId="164" fontId="26" fillId="0" borderId="6" xfId="20" applyFont="1" applyBorder="1" applyAlignment="1">
      <x:alignment horizontal="general" vertical="center" wrapText="0"/>
    </x:xf>
    <x:xf numFmtId="164" fontId="11" fillId="3" borderId="3" xfId="20" applyFont="1" applyBorder="1" applyAlignment="1">
      <x:alignment horizontal="general" vertical="center" wrapText="0"/>
    </x:xf>
    <x:xf numFmtId="164" fontId="11" fillId="3" borderId="5" xfId="20" applyFont="1" applyBorder="1" applyAlignment="1">
      <x:alignment horizontal="general" vertical="center" wrapText="0"/>
    </x:xf>
    <x:xf numFmtId="164" fontId="20" fillId="0" borderId="5" xfId="20" applyFont="1" applyBorder="1" applyAlignment="1">
      <x:alignment horizontal="general" vertical="center" wrapText="1"/>
    </x:xf>
    <x:xf numFmtId="164" fontId="11" fillId="3" borderId="6" xfId="20" applyFont="1" applyBorder="1" applyAlignment="1">
      <x:alignment horizontal="general" vertical="center" wrapText="0"/>
    </x:xf>
    <x:xf numFmtId="164" fontId="20" fillId="0" borderId="6" xfId="20" applyFont="1" applyBorder="1" applyAlignment="1">
      <x:alignment horizontal="general" vertical="center" wrapText="1"/>
    </x:xf>
  </x:cellXfs>
  <x:cellStyles count="7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Normal" xfId="20"/>
  </x:cellStyles>
  <x:dxfs count="3">
    <x:dxf>
      <x:font>
        <x:b/>
        <x:color rgb="FF008000"/>
      </x:font>
      <x:fill>
        <x:patternFill>
          <x:bgColor rgb="FFE8F2EC"/>
        </x:patternFill>
      </x:fill>
    </x:dxf>
    <x:dxf>
      <x:font>
        <x:b/>
        <x:color rgb="FF9A6700"/>
      </x:font>
      <x:fill>
        <x:patternFill>
          <x:bgColor rgb="FFFFF3CD"/>
        </x:patternFill>
      </x:fill>
    </x:dxf>
    <x:dxf>
      <x:font>
        <x:b/>
        <x:color rgb="FFB42318"/>
      </x:font>
      <x:fill>
        <x:patternFill>
          <x:bgColor rgb="FFFCE8E6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9A6700"/>
      <x:rgbColor rgb="FF800080"/>
      <x:rgbColor rgb="FF008080"/>
      <x:rgbColor rgb="FFCCCCCC"/>
      <x:rgbColor rgb="FF8B8B8B"/>
      <x:rgbColor rgb="FF9999FF"/>
      <x:rgbColor rgb="FF993366"/>
      <x:rgbColor rgb="FFFFF3CD"/>
      <x:rgbColor rgb="FFE8F2EC"/>
      <x:rgbColor rgb="FF660066"/>
      <x:rgbColor rgb="FFFF8080"/>
      <x:rgbColor rgb="FF0066CC"/>
      <x:rgbColor rgb="FFD8DEE6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EAF2F8"/>
      <x:rgbColor rgb="FFEAF1FB"/>
      <x:rgbColor rgb="FFFCEFEF"/>
      <x:rgbColor rgb="FFEFEFEF"/>
      <x:rgbColor rgb="FFFCE8E6"/>
      <x:rgbColor rgb="FFCC99FF"/>
      <x:rgbColor rgb="FFD9D9D9"/>
      <x:rgbColor rgb="FF3366FF"/>
      <x:rgbColor rgb="FF33CCCC"/>
      <x:rgbColor rgb="FF99CC00"/>
      <x:rgbColor rgb="FFFFCC00"/>
      <x:rgbColor rgb="FFFF9900"/>
      <x:rgbColor rgb="FFFF6600"/>
      <x:rgbColor rgb="FF667085"/>
      <x:rgbColor rgb="FF969696"/>
      <x:rgbColor rgb="FF18324A"/>
      <x:rgbColor rgb="FF2F7D7A"/>
      <x:rgbColor rgb="FF003300"/>
      <x:rgbColor rgb="FF333300"/>
      <x:rgbColor rgb="FFB42318"/>
      <x:rgbColor rgb="FF993366"/>
      <x:rgbColor rgb="FF2E5E86"/>
      <x:rgbColor rgb="FF17212B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98adccb4f6428b" /><Relationship Type="http://schemas.openxmlformats.org/officeDocument/2006/relationships/theme" Target="/xl/theme/theme1.xml" Id="R810f3f6727c74b52" /><Relationship Type="http://schemas.openxmlformats.org/officeDocument/2006/relationships/sharedStrings" Target="/xl/sharedStrings.xml" Id="Rc5506be0cd9f4fd9" /><Relationship Type="http://schemas.openxmlformats.org/officeDocument/2006/relationships/worksheet" Target="/xl/worksheets/sheet1.xml" Id="Rb8cbc1ae01a044bd" /><Relationship Type="http://schemas.openxmlformats.org/officeDocument/2006/relationships/worksheet" Target="/xl/worksheets/sheet2.xml" Id="Racdbe9a469b64cab" /><Relationship Type="http://schemas.openxmlformats.org/officeDocument/2006/relationships/worksheet" Target="/xl/worksheets/sheet3.xml" Id="R657bb00823354b2f" /><Relationship Type="http://schemas.openxmlformats.org/officeDocument/2006/relationships/worksheet" Target="/xl/worksheets/sheet4.xml" Id="Rbb49ac38823a4ef6" /><Relationship Type="http://schemas.openxmlformats.org/officeDocument/2006/relationships/worksheet" Target="/xl/worksheets/sheet5.xml" Id="Rc062b59c3bfa4a24" /><Relationship Type="http://schemas.openxmlformats.org/officeDocument/2006/relationships/worksheet" Target="/xl/worksheets/sheet6.xml" Id="Rcc22c72991254041" /><Relationship Type="http://schemas.openxmlformats.org/officeDocument/2006/relationships/worksheet" Target="/xl/worksheets/sheet7.xml" Id="R969b435ed3e54855" /><Relationship Type="http://schemas.openxmlformats.org/officeDocument/2006/relationships/worksheet" Target="/xl/worksheets/sheet8.xml" Id="R72869d5c35664cd8" /><Relationship Type="http://schemas.openxmlformats.org/officeDocument/2006/relationships/worksheet" Target="/xl/worksheets/sheet9.xml" Id="R6866453c871e4b5d" /><Relationship Type="http://schemas.openxmlformats.org/officeDocument/2006/relationships/worksheet" Target="/xl/worksheets/sheet10.xml" Id="R757e30d358724ac2" /><Relationship Type="http://schemas.openxmlformats.org/officeDocument/2006/relationships/worksheet" Target="/xl/worksheets/sheet11.xml" Id="R263b79a81682474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7768308538346d8" /><Relationship Type="http://schemas.openxmlformats.org/officeDocument/2006/relationships/chart" Target="/xl/drawings/charts/chart2.xml" Id="Rc12882ab6788423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ab6545e171ed47bb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32991082dbd74c2a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61400b2e995a4406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9848a0c04dfe4f4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 b="1">
                <a:solidFill>
                  <a:srgbClr val="000000"/>
                </a:solidFill>
                <a:latin typeface="Arial"/>
                <a:ea typeface="Arial"/>
                <a:cs typeface="Arial"/>
              </a:rPr>
              <a:t>Спрос и новое предложение, млн м²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 b="1">
              <a:solidFill>
                <a:srgbClr val="000000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"Спрос"</c:f>
              <c:strCache>
                <c:ptCount val="1"/>
                <c:pt idx="0">
                  <c:v>Спрос</c:v>
                </c:pt>
              </c:strCache>
            </c:strRef>
          </c:tx>
          <c:spPr>
            <a:solidFill xmlns:a="http://schemas.openxmlformats.org/drawingml/2006/main">
              <a:srgbClr val="2F7D7A"/>
            </a:solidFill>
            <a:ln xmlns:a="http://schemas.openxmlformats.org/drawingml/2006/main" w="19080">
              <a:solidFill>
                <a:srgbClr val="2F7D7A"/>
              </a:solidFill>
            </a:ln>
          </c:spPr>
          <c:marker>
            <c:symbol val="none"/>
          </c:marker>
          <c:dLbls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>
                    <a:latin typeface="Arial"/>
                    <a:ea typeface="Arial"/>
                    <a:cs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numRef>
              <c:f>Дашборд!$C$23:$C$32</c:f>
              <c:numCache>
                <c:formatCode>General</c:formatCod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numCache>
            </c:numRef>
          </c:cat>
          <c:val>
            <c:numRef>
              <c:f>Дашборд!$D$23:$D$32</c:f>
              <c:numCache>
                <c:formatCode>0.0</c:formatCode>
                <c:ptCount val="10"/>
                <c:pt idx="0">
                  <c:v>24</c:v>
                </c:pt>
                <c:pt idx="1">
                  <c:v>26.5</c:v>
                </c:pt>
                <c:pt idx="2">
                  <c:v>28.5</c:v>
                </c:pt>
                <c:pt idx="3">
                  <c:v>29.5</c:v>
                </c:pt>
                <c:pt idx="4">
                  <c:v>30.2</c:v>
                </c:pt>
                <c:pt idx="5">
                  <c:v>30.5</c:v>
                </c:pt>
                <c:pt idx="6">
                  <c:v>30.2</c:v>
                </c:pt>
                <c:pt idx="7">
                  <c:v>29.9</c:v>
                </c:pt>
                <c:pt idx="8">
                  <c:v>29.6</c:v>
                </c:pt>
                <c:pt idx="9">
                  <c:v>29.3</c:v>
                </c:pt>
              </c:numCache>
            </c:numRef>
          </c:val>
        </c:ser>
        <c:ser>
          <c:idx val="1"/>
          <c:order val="1"/>
          <c:tx>
            <c:strRef>
              <c:f>"Новое предложение"</c:f>
              <c:strCache>
                <c:ptCount val="1"/>
                <c:pt idx="0">
                  <c:v>Новое предложение</c:v>
                </c:pt>
              </c:strCache>
            </c:strRef>
          </c:tx>
          <c:spPr>
            <a:solidFill xmlns:a="http://schemas.openxmlformats.org/drawingml/2006/main">
              <a:srgbClr val="2E5E86"/>
            </a:solidFill>
            <a:ln xmlns:a="http://schemas.openxmlformats.org/drawingml/2006/main" w="19080">
              <a:solidFill>
                <a:srgbClr val="2E5E86"/>
              </a:solidFill>
              <a:prstDash val="dash"/>
            </a:ln>
          </c:spPr>
          <c:marker>
            <c:symbol val="none"/>
          </c:marker>
          <c:dLbls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>
                    <a:latin typeface="Arial"/>
                    <a:ea typeface="Arial"/>
                    <a:cs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numRef>
              <c:f>Дашборд!$C$23:$C$32</c:f>
              <c:numCache>
                <c:formatCode>General</c:formatCod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numCache>
            </c:numRef>
          </c:cat>
          <c:val>
            <c:numRef>
              <c:f>Дашборд!$E$23:$E$32</c:f>
              <c:numCache>
                <c:formatCode>0.0</c:formatCode>
                <c:ptCount val="10"/>
                <c:pt idx="0">
                  <c:v>36</c:v>
                </c:pt>
                <c:pt idx="1">
                  <c:v>31</c:v>
                </c:pt>
                <c:pt idx="2">
                  <c:v>29</c:v>
                </c:pt>
                <c:pt idx="3">
                  <c:v>29.5</c:v>
                </c:pt>
                <c:pt idx="4">
                  <c:v>30</c:v>
                </c:pt>
                <c:pt idx="5">
                  <c:v>30.2</c:v>
                </c:pt>
                <c:pt idx="6">
                  <c:v>30</c:v>
                </c:pt>
                <c:pt idx="7">
                  <c:v>29.5</c:v>
                </c:pt>
                <c:pt idx="8">
                  <c:v>29</c:v>
                </c:pt>
                <c:pt idx="9">
                  <c:v>28.5</c:v>
                </c:pt>
              </c:numCache>
            </c:numRef>
          </c:val>
        </c:ser>
        <c:axId val="61841831"/>
        <c:axId val="46796746"/>
      </c:lineChart>
      <c:catAx>
        <c:axId val="61841831"/>
        <c:scaling>
          <c:orientation val="minMax"/>
        </c:scaling>
        <c:delete val="0"/>
        <c:axPos val="b"/>
        <c:majorGridlines>
          <c:spPr>
            <a:ln xmlns:a="http://schemas.openxmlformats.org/drawingml/2006/main" w="9360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spPr>
          <a:ln xmlns:a="http://schemas.openxmlformats.org/drawingml/2006/main" w="12600">
            <a:solidFill>
              <a:srgbClr val="8B8B8B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 b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46796746"/>
        <c:crosses val="autoZero"/>
        <c:lblAlgn val="ctr"/>
        <c:lblOffset val="100"/>
        <c:noMultiLvlLbl val="0"/>
      </c:catAx>
      <c:valAx>
        <c:axId val="46796746"/>
        <c:scaling>
          <c:orientation val="minMax"/>
        </c:scaling>
        <c:delete val="0"/>
        <c:axPos val="l"/>
        <c:majorGridlines>
          <c:spPr>
            <a:ln xmlns:a="http://schemas.openxmlformats.org/drawingml/2006/main" w="9360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spPr>
          <a:ln xmlns:a="http://schemas.openxmlformats.org/drawingml/2006/main" w="12600">
            <a:solidFill>
              <a:srgbClr val="8B8B8B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 b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61841831"/>
        <c:crosses val="autoZero"/>
        <c:crossBetween val="between"/>
      </c:valAx>
      <c:spPr>
        <a:noFill xmlns:a="http://schemas.openxmlformats.org/drawingml/2006/main"/>
        <a:ln xmlns:a="http://schemas.openxmlformats.org/drawingml/2006/main" w="0">
          <a:noFill/>
        </a:ln>
      </c:spPr>
    </c:plotArea>
    <c:legend>
      <c:legendPos val="t"/>
      <c:overlay val="0"/>
      <c:spPr>
        <a:noFill xmlns:a="http://schemas.openxmlformats.org/drawingml/2006/main"/>
      </c:spPr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 b="1">
                <a:solidFill>
                  <a:srgbClr val="000000"/>
                </a:solidFill>
                <a:latin typeface="Arial"/>
                <a:ea typeface="Arial"/>
                <a:cs typeface="Arial"/>
              </a:rPr>
              <a:t>Нераспроданный остаток, млн м²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 b="1">
              <a:solidFill>
                <a:srgbClr val="000000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"Остаток на конец"</c:f>
              <c:strCache>
                <c:ptCount val="1"/>
                <c:pt idx="0">
                  <c:v>Остаток на конец</c:v>
                </c:pt>
              </c:strCache>
            </c:strRef>
          </c:tx>
          <c:spPr>
            <a:solidFill xmlns:a="http://schemas.openxmlformats.org/drawingml/2006/main">
              <a:srgbClr val="B42318"/>
            </a:solidFill>
            <a:ln xmlns:a="http://schemas.openxmlformats.org/drawingml/2006/main" w="19080">
              <a:solidFill>
                <a:srgbClr val="B42318"/>
              </a:solidFill>
            </a:ln>
          </c:spPr>
          <c:marker>
            <c:symbol val="none"/>
          </c:marker>
          <c:dLbls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>
                    <a:latin typeface="Arial"/>
                    <a:ea typeface="Arial"/>
                    <a:cs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numRef>
              <c:f>Дашборд!$F$23:$F$32</c:f>
              <c:numCache>
                <c:formatCode>General</c:formatCod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numCache>
            </c:numRef>
          </c:cat>
          <c:val>
            <c:numRef>
              <c:f>Дашборд!$G$23:$G$32</c:f>
              <c:numCache>
                <c:formatCode>0.0</c:formatCode>
                <c:ptCount val="10"/>
                <c:pt idx="0">
                  <c:v>92</c:v>
                </c:pt>
                <c:pt idx="1">
                  <c:v>96.5</c:v>
                </c:pt>
                <c:pt idx="2">
                  <c:v>97</c:v>
                </c:pt>
                <c:pt idx="3">
                  <c:v>97</c:v>
                </c:pt>
                <c:pt idx="4">
                  <c:v>96.8</c:v>
                </c:pt>
                <c:pt idx="5">
                  <c:v>96.5</c:v>
                </c:pt>
                <c:pt idx="6">
                  <c:v>96.3</c:v>
                </c:pt>
                <c:pt idx="7">
                  <c:v>95.9</c:v>
                </c:pt>
                <c:pt idx="8">
                  <c:v>95.3</c:v>
                </c:pt>
                <c:pt idx="9">
                  <c:v>94.5</c:v>
                </c:pt>
              </c:numCache>
            </c:numRef>
          </c:val>
        </c:ser>
        <c:axId val="67080736"/>
        <c:axId val="53702068"/>
      </c:lineChart>
      <c:catAx>
        <c:axId val="67080736"/>
        <c:scaling>
          <c:orientation val="minMax"/>
        </c:scaling>
        <c:delete val="0"/>
        <c:axPos val="b"/>
        <c:majorGridlines>
          <c:spPr>
            <a:ln xmlns:a="http://schemas.openxmlformats.org/drawingml/2006/main" w="9360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spPr>
          <a:ln xmlns:a="http://schemas.openxmlformats.org/drawingml/2006/main" w="12600">
            <a:solidFill>
              <a:srgbClr val="8B8B8B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 b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53702068"/>
        <c:crosses val="autoZero"/>
        <c:lblAlgn val="ctr"/>
        <c:lblOffset val="100"/>
        <c:noMultiLvlLbl val="0"/>
      </c:catAx>
      <c:valAx>
        <c:axId val="53702068"/>
        <c:scaling>
          <c:orientation val="minMax"/>
        </c:scaling>
        <c:delete val="0"/>
        <c:axPos val="l"/>
        <c:majorGridlines>
          <c:spPr>
            <a:ln xmlns:a="http://schemas.openxmlformats.org/drawingml/2006/main" w="9360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spPr>
          <a:ln xmlns:a="http://schemas.openxmlformats.org/drawingml/2006/main" w="12600">
            <a:solidFill>
              <a:srgbClr val="8B8B8B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 b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67080736"/>
        <c:crosses val="autoZero"/>
        <c:crossBetween val="between"/>
      </c:valAx>
      <c:spPr>
        <a:noFill xmlns:a="http://schemas.openxmlformats.org/drawingml/2006/main"/>
        <a:ln xmlns:a="http://schemas.openxmlformats.org/drawingml/2006/main" w="0">
          <a:noFill/>
        </a:ln>
      </c:spPr>
    </c:plotArea>
    <c:plotVisOnly val="1"/>
  </c:chart>
  <c: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 b="1">
                <a:solidFill>
                  <a:srgbClr val="000000"/>
                </a:solidFill>
                <a:latin typeface="Arial"/>
                <a:ea typeface="Arial"/>
                <a:cs typeface="Arial"/>
              </a:rPr>
              <a:t>Ипотечный платеж по ставке, тыс. руб./мес.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 b="1">
              <a:solidFill>
                <a:srgbClr val="000000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"Платеж, тыс. руб./мес."</c:f>
              <c:strCache>
                <c:ptCount val="1"/>
                <c:pt idx="0">
                  <c:v>Платеж, тыс. руб./мес.</c:v>
                </c:pt>
              </c:strCache>
            </c:strRef>
          </c:tx>
          <c:spPr>
            <a:solidFill xmlns:a="http://schemas.openxmlformats.org/drawingml/2006/main">
              <a:srgbClr val="B42318"/>
            </a:solidFill>
            <a:ln xmlns:a="http://schemas.openxmlformats.org/drawingml/2006/main" w="19080">
              <a:solidFill>
                <a:srgbClr val="B42318"/>
              </a:solidFill>
            </a:ln>
          </c:spPr>
          <c:marker>
            <c:symbol val="none"/>
          </c:marker>
          <c:dLbls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>
                    <a:latin typeface="Arial"/>
                    <a:ea typeface="Arial"/>
                    <a:cs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Ипотека!$C$13:$C$18</c:f>
              <c:strCache>
                <c:ptCount val="6"/>
                <c:pt idx="0">
                  <c:v>6.0%</c:v>
                </c:pt>
                <c:pt idx="1">
                  <c:v>10.0%</c:v>
                </c:pt>
                <c:pt idx="2">
                  <c:v>14.0%</c:v>
                </c:pt>
                <c:pt idx="3">
                  <c:v>18.0%</c:v>
                </c:pt>
                <c:pt idx="4">
                  <c:v>22.0%</c:v>
                </c:pt>
                <c:pt idx="5">
                  <c:v>24.8%</c:v>
                </c:pt>
              </c:strCache>
            </c:strRef>
          </c:cat>
          <c:val>
            <c:numRef>
              <c:f>Ипотека!$F$13:$F$18</c:f>
              <c:numCache>
                <c:formatCode>0.0</c:formatCode>
                <c:ptCount val="6"/>
                <c:pt idx="0">
                  <c:v>49.4702669828092</c:v>
                </c:pt>
                <c:pt idx="1">
                  <c:v>69.7711791184978</c:v>
                </c:pt>
                <c:pt idx="2">
                  <c:v>92.4262776036629</c:v>
                </c:pt>
                <c:pt idx="3">
                  <c:v>116.510167835849</c:v>
                </c:pt>
                <c:pt idx="4">
                  <c:v>141.372889897983</c:v>
                </c:pt>
                <c:pt idx="5">
                  <c:v>159.025034272851</c:v>
                </c:pt>
              </c:numCache>
            </c:numRef>
          </c:val>
        </c:ser>
        <c:axId val="87169269"/>
        <c:axId val="95646949"/>
      </c:lineChart>
      <c:catAx>
        <c:axId val="87169269"/>
        <c:scaling>
          <c:orientation val="minMax"/>
        </c:scaling>
        <c:delete val="0"/>
        <c:axPos val="b"/>
        <c:majorGridlines>
          <c:spPr>
            <a:ln xmlns:a="http://schemas.openxmlformats.org/drawingml/2006/main" w="9360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spPr>
          <a:ln xmlns:a="http://schemas.openxmlformats.org/drawingml/2006/main" w="12600">
            <a:solidFill>
              <a:srgbClr val="8B8B8B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 b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95646949"/>
        <c:crosses val="autoZero"/>
        <c:lblAlgn val="ctr"/>
        <c:lblOffset val="100"/>
        <c:noMultiLvlLbl val="0"/>
      </c:catAx>
      <c:valAx>
        <c:axId val="95646949"/>
        <c:scaling>
          <c:orientation val="minMax"/>
        </c:scaling>
        <c:delete val="0"/>
        <c:axPos val="l"/>
        <c:majorGridlines>
          <c:spPr>
            <a:ln xmlns:a="http://schemas.openxmlformats.org/drawingml/2006/main" w="9360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spPr>
          <a:ln xmlns:a="http://schemas.openxmlformats.org/drawingml/2006/main" w="12600">
            <a:solidFill>
              <a:srgbClr val="8B8B8B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 b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87169269"/>
        <c:crosses val="autoZero"/>
        <c:crossBetween val="between"/>
      </c:valAx>
      <c:spPr>
        <a:noFill xmlns:a="http://schemas.openxmlformats.org/drawingml/2006/main"/>
        <a:ln xmlns:a="http://schemas.openxmlformats.org/drawingml/2006/main" w="0">
          <a:noFill/>
        </a:ln>
      </c:spPr>
    </c:plotArea>
    <c:plotVisOnly val="1"/>
  </c:chart>
  <c: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 b="1">
                <a:solidFill>
                  <a:srgbClr val="000000"/>
                </a:solidFill>
                <a:latin typeface="Arial"/>
                <a:ea typeface="Arial"/>
                <a:cs typeface="Arial"/>
              </a:rPr>
              <a:t>Years of Supply по кластерам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 b="1">
              <a:solidFill>
                <a:srgbClr val="000000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"Years of Supply"</c:f>
              <c:strCache>
                <c:ptCount val="1"/>
                <c:pt idx="0">
                  <c:v>Years of Supply</c:v>
                </c:pt>
              </c:strCache>
            </c:strRef>
          </c:tx>
          <c:spPr>
            <a:solidFill xmlns:a="http://schemas.openxmlformats.org/drawingml/2006/main">
              <a:srgbClr val="2E5E86"/>
            </a:solidFill>
            <a:ln xmlns:a="http://schemas.openxmlformats.org/drawingml/2006/main" w="0">
              <a:noFill/>
            </a:ln>
          </c:spPr>
          <c:dLbls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>
                    <a:latin typeface="Arial"/>
                    <a:ea typeface="Arial"/>
                    <a:cs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Регионы!$C$7:$C$12</c:f>
              <c:strCache>
                <c:ptCount val="6"/>
                <c:pt idx="0">
                  <c:v>Москва</c:v>
                </c:pt>
                <c:pt idx="1">
                  <c:v>Московская область</c:v>
                </c:pt>
                <c:pt idx="2">
                  <c:v>Санкт-Петербург</c:v>
                </c:pt>
                <c:pt idx="3">
                  <c:v>Краснодарский край</c:v>
                </c:pt>
                <c:pt idx="4">
                  <c:v>Города-миллионники без Москвы и СПб</c:v>
                </c:pt>
                <c:pt idx="5">
                  <c:v>Прочие регионы</c:v>
                </c:pt>
              </c:strCache>
            </c:strRef>
          </c:cat>
          <c:val>
            <c:numRef>
              <c:f>Регионы!$G$7:$G$12</c:f>
              <c:numCache>
                <c:formatCode>0.00</c:formatCode>
                <c:ptCount val="6"/>
                <c:pt idx="0">
                  <c:v>2.5</c:v>
                </c:pt>
                <c:pt idx="1">
                  <c:v>3.2</c:v>
                </c:pt>
                <c:pt idx="2">
                  <c:v>2.7</c:v>
                </c:pt>
                <c:pt idx="3">
                  <c:v>5.5</c:v>
                </c:pt>
                <c:pt idx="4">
                  <c:v>3.4</c:v>
                </c:pt>
                <c:pt idx="5">
                  <c:v>3.1</c:v>
                </c:pt>
              </c:numCache>
            </c:numRef>
          </c:val>
        </c:ser>
        <c:gapWidth val="150"/>
        <c:overlap val="0"/>
        <c:axId val="92136247"/>
        <c:axId val="31161374"/>
      </c:barChart>
      <c:catAx>
        <c:axId val="92136247"/>
        <c:scaling>
          <c:orientation val="minMax"/>
        </c:scaling>
        <c:delete val="0"/>
        <c:axPos val="b"/>
        <c:majorGridlines>
          <c:spPr>
            <a:ln xmlns:a="http://schemas.openxmlformats.org/drawingml/2006/main" w="9360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spPr>
          <a:ln xmlns:a="http://schemas.openxmlformats.org/drawingml/2006/main" w="12600">
            <a:solidFill>
              <a:srgbClr val="8B8B8B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 b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31161374"/>
        <c:crosses val="autoZero"/>
        <c:lblAlgn val="ctr"/>
        <c:lblOffset val="100"/>
        <c:noMultiLvlLbl val="0"/>
      </c:catAx>
      <c:valAx>
        <c:axId val="31161374"/>
        <c:scaling>
          <c:orientation val="minMax"/>
        </c:scaling>
        <c:delete val="0"/>
        <c:axPos val="l"/>
        <c:majorGridlines>
          <c:spPr>
            <a:ln xmlns:a="http://schemas.openxmlformats.org/drawingml/2006/main" w="9360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ickLblPos val="nextTo"/>
        <c:spPr>
          <a:ln xmlns:a="http://schemas.openxmlformats.org/drawingml/2006/main" w="12600">
            <a:solidFill>
              <a:srgbClr val="8B8B8B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 b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92136247"/>
        <c:crosses val="autoZero"/>
        <c:crossBetween val="between"/>
      </c:valAx>
      <c:spPr>
        <a:noFill xmlns:a="http://schemas.openxmlformats.org/drawingml/2006/main"/>
        <a:ln xmlns:a="http://schemas.openxmlformats.org/drawingml/2006/main" w="0">
          <a:noFill/>
        </a:ln>
      </c:spPr>
    </c:plotArea>
    <c:plotVisOnly val="1"/>
  </c:chart>
  <c: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 b="1">
                <a:solidFill>
                  <a:srgbClr val="000000"/>
                </a:solidFill>
                <a:latin typeface="Arial"/>
                <a:ea typeface="Arial"/>
                <a:cs typeface="Arial"/>
              </a:rPr>
              <a:t>Влияние заданного шока на спрос, млн м²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 b="1">
              <a:solidFill>
                <a:srgbClr val="000000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"Изменение спроса, млн м²"</c:f>
              <c:strCache>
                <c:ptCount val="1"/>
                <c:pt idx="0">
                  <c:v>Изменение спроса, млн м²</c:v>
                </c:pt>
              </c:strCache>
            </c:strRef>
          </c:tx>
          <c:spPr>
            <a:solidFill xmlns:a="http://schemas.openxmlformats.org/drawingml/2006/main">
              <a:srgbClr val="2F7D7A"/>
            </a:solidFill>
            <a:ln xmlns:a="http://schemas.openxmlformats.org/drawingml/2006/main" w="0">
              <a:noFill/>
            </a:ln>
          </c:spPr>
          <c:invertIfNegative val="0"/>
          <c:dLbls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>
                    <a:latin typeface="Arial"/>
                    <a:ea typeface="Arial"/>
                    <a:cs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Чувствительность!$C$7:$C$13</c:f>
              <c:strCache>
                <c:ptCount val="7"/>
                <c:pt idx="0">
                  <c:v>Ипотечная ставка</c:v>
                </c:pt>
                <c:pt idx="1">
                  <c:v>Цена первичного жилья</c:v>
                </c:pt>
                <c:pt idx="2">
                  <c:v>Реальный доход</c:v>
                </c:pt>
                <c:pt idx="3">
                  <c:v>Первоначальный взнос</c:v>
                </c:pt>
                <c:pt idx="4">
                  <c:v>Новые запуски</c:v>
                </c:pt>
                <c:pt idx="5">
                  <c:v>Чистая миграция</c:v>
                </c:pt>
                <c:pt idx="6">
                  <c:v>Средний размер домохозяйства</c:v>
                </c:pt>
              </c:strCache>
            </c:strRef>
          </c:cat>
          <c:val>
            <c:numRef>
              <c:f>Чувствительность!$E$7:$E$13</c:f>
              <c:numCache>
                <c:formatCode>0.00;[RED]\(0.00\);\-</c:formatCode>
                <c:ptCount val="7"/>
                <c:pt idx="0">
                  <c:v>-0.55</c:v>
                </c:pt>
                <c:pt idx="1">
                  <c:v>-2.4</c:v>
                </c:pt>
                <c:pt idx="2">
                  <c:v>0.21</c:v>
                </c:pt>
                <c:pt idx="3">
                  <c:v>-2.1</c:v>
                </c:pt>
                <c:pt idx="4">
                  <c:v>0</c:v>
                </c:pt>
                <c:pt idx="5">
                  <c:v>0.25</c:v>
                </c:pt>
                <c:pt idx="6">
                  <c:v>0.3</c:v>
                </c:pt>
              </c:numCache>
            </c:numRef>
          </c:val>
        </c:ser>
        <c:gapWidth val="150"/>
        <c:overlap val="0"/>
        <c:axId val="74097080"/>
        <c:axId val="18144425"/>
      </c:barChart>
      <c:catAx>
        <c:axId val="74097080"/>
        <c:scaling>
          <c:orientation val="minMax"/>
        </c:scaling>
        <c:delete val="0"/>
        <c:axPos val="b"/>
        <c:majorGridlines>
          <c:spPr>
            <a:ln xmlns:a="http://schemas.openxmlformats.org/drawingml/2006/main" w="9360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spPr>
          <a:ln xmlns:a="http://schemas.openxmlformats.org/drawingml/2006/main" w="12600">
            <a:solidFill>
              <a:srgbClr val="8B8B8B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 b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18144425"/>
        <c:crosses val="autoZero"/>
        <c:lblAlgn val="ctr"/>
        <c:lblOffset val="100"/>
        <c:noMultiLvlLbl val="0"/>
      </c:catAx>
      <c:valAx>
        <c:axId val="18144425"/>
        <c:scaling>
          <c:orientation val="minMax"/>
        </c:scaling>
        <c:delete val="0"/>
        <c:axPos val="l"/>
        <c:majorGridlines>
          <c:spPr>
            <a:ln xmlns:a="http://schemas.openxmlformats.org/drawingml/2006/main" w="9360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ickLblPos val="nextTo"/>
        <c:spPr>
          <a:ln xmlns:a="http://schemas.openxmlformats.org/drawingml/2006/main" w="12600">
            <a:solidFill>
              <a:srgbClr val="8B8B8B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 b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74097080"/>
        <c:crosses val="autoZero"/>
        <c:crossBetween val="between"/>
      </c:valAx>
      <c:spPr>
        <a:noFill xmlns:a="http://schemas.openxmlformats.org/drawingml/2006/main"/>
        <a:ln xmlns:a="http://schemas.openxmlformats.org/drawingml/2006/main" w="0">
          <a:noFill/>
        </a:ln>
      </c:spPr>
    </c:plotArea>
    <c:plotVisOnly val="1"/>
  </c:chart>
  <c: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 b="1">
                <a:solidFill>
                  <a:srgbClr val="000000"/>
                </a:solidFill>
                <a:latin typeface="Arial"/>
                <a:ea typeface="Arial"/>
                <a:cs typeface="Arial"/>
              </a:rPr>
              <a:t>Факт и модель, млн м²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 b="1">
              <a:solidFill>
                <a:srgbClr val="000000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"Факт, млн м²"</c:f>
              <c:strCache>
                <c:ptCount val="1"/>
                <c:pt idx="0">
                  <c:v>Факт, млн м²</c:v>
                </c:pt>
              </c:strCache>
            </c:strRef>
          </c:tx>
          <c:spPr>
            <a:solidFill xmlns:a="http://schemas.openxmlformats.org/drawingml/2006/main">
              <a:srgbClr val="18324A"/>
            </a:solidFill>
            <a:ln xmlns:a="http://schemas.openxmlformats.org/drawingml/2006/main" w="19080">
              <a:solidFill>
                <a:srgbClr val="18324A"/>
              </a:solidFill>
            </a:ln>
          </c:spPr>
          <c:marker>
            <c:symbol val="none"/>
          </c:marker>
          <c:dLbls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>
                    <a:latin typeface="Arial"/>
                    <a:ea typeface="Arial"/>
                    <a:cs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numRef>
              <c:f>Backtest!$C$7:$C$12</c:f>
              <c:numCache>
                <c:formatCode>General</c:formatCode>
                <c:ptCount val="6"/>
                <c:pt idx="0">
                  <c:v>2020.0</c:v>
                </c:pt>
                <c:pt idx="1">
                  <c:v>2021.0</c:v>
                </c:pt>
                <c:pt idx="2">
                  <c:v>2022.0</c:v>
                </c:pt>
                <c:pt idx="3">
                  <c:v>2023.0</c:v>
                </c:pt>
                <c:pt idx="4">
                  <c:v>2024.0</c:v>
                </c:pt>
                <c:pt idx="5">
                  <c:v>2025.0</c:v>
                </c:pt>
              </c:numCache>
            </c:numRef>
          </c:cat>
          <c:val>
            <c:numRef>
              <c:f>Backtest!$D$7:$D$12</c:f>
              <c:numCache>
                <c:formatCode>0.0</c:formatCode>
                <c:ptCount val="6"/>
                <c:pt idx="0">
                  <c:v>27</c:v>
                </c:pt>
                <c:pt idx="1">
                  <c:v>28.6</c:v>
                </c:pt>
                <c:pt idx="2">
                  <c:v>22.6</c:v>
                </c:pt>
                <c:pt idx="3">
                  <c:v>34.2</c:v>
                </c:pt>
                <c:pt idx="4">
                  <c:v>26.7</c:v>
                </c:pt>
                <c:pt idx="5">
                  <c:v>25.6</c:v>
                </c:pt>
              </c:numCache>
            </c:numRef>
          </c:val>
        </c:ser>
        <c:ser>
          <c:idx val="1"/>
          <c:order val="1"/>
          <c:tx>
            <c:strRef>
              <c:f>"Модель, млн м²"</c:f>
              <c:strCache>
                <c:ptCount val="1"/>
                <c:pt idx="0">
                  <c:v>Модель, млн м²</c:v>
                </c:pt>
              </c:strCache>
            </c:strRef>
          </c:tx>
          <c:spPr>
            <a:solidFill xmlns:a="http://schemas.openxmlformats.org/drawingml/2006/main">
              <a:srgbClr val="2F7D7A"/>
            </a:solidFill>
            <a:ln xmlns:a="http://schemas.openxmlformats.org/drawingml/2006/main" w="19080">
              <a:solidFill>
                <a:srgbClr val="2F7D7A"/>
              </a:solidFill>
              <a:prstDash val="dash"/>
            </a:ln>
          </c:spPr>
          <c:marker>
            <c:symbol val="none"/>
          </c:marker>
          <c:dLbls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>
                    <a:latin typeface="Arial"/>
                    <a:ea typeface="Arial"/>
                    <a:cs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numRef>
              <c:f>Backtest!$C$7:$C$12</c:f>
              <c:numCache>
                <c:formatCode>General</c:formatCode>
                <c:ptCount val="6"/>
                <c:pt idx="0">
                  <c:v>2020.0</c:v>
                </c:pt>
                <c:pt idx="1">
                  <c:v>2021.0</c:v>
                </c:pt>
                <c:pt idx="2">
                  <c:v>2022.0</c:v>
                </c:pt>
                <c:pt idx="3">
                  <c:v>2023.0</c:v>
                </c:pt>
                <c:pt idx="4">
                  <c:v>2024.0</c:v>
                </c:pt>
                <c:pt idx="5">
                  <c:v>2025.0</c:v>
                </c:pt>
              </c:numCache>
            </c:numRef>
          </c:cat>
          <c:val>
            <c:numRef>
              <c:f>Backtest!$E$7:$E$12</c:f>
              <c:numCache>
                <c:formatCode>0.0</c:formatCode>
                <c:ptCount val="6"/>
                <c:pt idx="0">
                  <c:v>28.2</c:v>
                </c:pt>
                <c:pt idx="1">
                  <c:v>30</c:v>
                </c:pt>
                <c:pt idx="2">
                  <c:v>24</c:v>
                </c:pt>
                <c:pt idx="3">
                  <c:v>31.8</c:v>
                </c:pt>
                <c:pt idx="4">
                  <c:v>28</c:v>
                </c:pt>
                <c:pt idx="5">
                  <c:v>25.4</c:v>
                </c:pt>
              </c:numCache>
            </c:numRef>
          </c:val>
        </c:ser>
        <c:axId val="18031270"/>
        <c:axId val="29903290"/>
      </c:lineChart>
      <c:catAx>
        <c:axId val="18031270"/>
        <c:scaling>
          <c:orientation val="minMax"/>
        </c:scaling>
        <c:delete val="0"/>
        <c:axPos val="b"/>
        <c:majorGridlines>
          <c:spPr>
            <a:ln xmlns:a="http://schemas.openxmlformats.org/drawingml/2006/main" w="9360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spPr>
          <a:ln xmlns:a="http://schemas.openxmlformats.org/drawingml/2006/main" w="12600">
            <a:solidFill>
              <a:srgbClr val="8B8B8B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 b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29903290"/>
        <c:crosses val="autoZero"/>
        <c:lblAlgn val="ctr"/>
        <c:lblOffset val="100"/>
        <c:noMultiLvlLbl val="0"/>
      </c:catAx>
      <c:valAx>
        <c:axId val="29903290"/>
        <c:scaling>
          <c:orientation val="minMax"/>
        </c:scaling>
        <c:delete val="0"/>
        <c:axPos val="l"/>
        <c:majorGridlines>
          <c:spPr>
            <a:ln xmlns:a="http://schemas.openxmlformats.org/drawingml/2006/main" w="9360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spPr>
          <a:ln xmlns:a="http://schemas.openxmlformats.org/drawingml/2006/main" w="12600">
            <a:solidFill>
              <a:srgbClr val="8B8B8B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 b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18031270"/>
        <c:crosses val="autoZero"/>
        <c:crossBetween val="between"/>
      </c:valAx>
      <c:spPr>
        <a:noFill xmlns:a="http://schemas.openxmlformats.org/drawingml/2006/main"/>
        <a:ln xmlns:a="http://schemas.openxmlformats.org/drawingml/2006/main" w="0">
          <a:noFill/>
        </a:ln>
      </c:spPr>
    </c:plotArea>
    <c:legend>
      <c:legendPos val="t"/>
      <c:overlay val="0"/>
      <c:spPr>
        <a:noFill xmlns:a="http://schemas.openxmlformats.org/drawingml/2006/main"/>
      </c:spPr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11</xdr:row>
      <xdr:rowOff>130680</xdr:rowOff>
    </xdr:from>
    <xdr:to>
      <xdr:col>16</xdr:col>
      <xdr:colOff>986400</xdr:colOff>
      <xdr:row>15</xdr:row>
      <xdr:rowOff>834480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7768308538346d8"/>
        </a:graphicData>
      </a:graphic>
    </xdr:graphicFrame>
    <xdr:clientData/>
  </xdr:twoCellAnchor>
  <xdr:twoCellAnchor>
    <xdr:from>
      <xdr:col>8</xdr:col>
      <xdr:colOff>0</xdr:colOff>
      <xdr:row>16</xdr:row>
      <xdr:rowOff>153360</xdr:rowOff>
    </xdr:from>
    <xdr:to>
      <xdr:col>16</xdr:col>
      <xdr:colOff>986400</xdr:colOff>
      <xdr:row>22</xdr:row>
      <xdr:rowOff>11160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12882ab6788423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11</xdr:col>
      <xdr:colOff>0</xdr:colOff>
      <xdr:row>4</xdr:row>
      <xdr:rowOff>0</xdr:rowOff>
    </xdr:from>
    <xdr:to>
      <xdr:col>17</xdr:col>
      <xdr:colOff>610920</xdr:colOff>
      <xdr:row>17</xdr:row>
      <xdr:rowOff>190080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6545e171ed47bb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2</xdr:col>
      <xdr:colOff>0</xdr:colOff>
      <xdr:row>14</xdr:row>
      <xdr:rowOff>659160</xdr:rowOff>
    </xdr:from>
    <xdr:to>
      <xdr:col>9</xdr:col>
      <xdr:colOff>3665160</xdr:colOff>
      <xdr:row>16</xdr:row>
      <xdr:rowOff>634680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2991082dbd74c2a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7</xdr:col>
      <xdr:colOff>0</xdr:colOff>
      <xdr:row>5</xdr:row>
      <xdr:rowOff>0</xdr:rowOff>
    </xdr:from>
    <xdr:to>
      <xdr:col>12</xdr:col>
      <xdr:colOff>915840</xdr:colOff>
      <xdr:row>20</xdr:row>
      <xdr:rowOff>7200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400b2e995a440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9</xdr:col>
      <xdr:colOff>0</xdr:colOff>
      <xdr:row>4</xdr:row>
      <xdr:rowOff>0</xdr:rowOff>
    </xdr:from>
    <xdr:to>
      <xdr:col>16</xdr:col>
      <xdr:colOff>611280</xdr:colOff>
      <xdr:row>17</xdr:row>
      <xdr:rowOff>190080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848a0c04dfe4f4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270af5060624c2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faec70070381459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3.xml" Id="Rb8e9ceeee183445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4.xml" Id="R8e3b5c9182cb4ad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5.xml" Id="R33838a66d9da496d" /></Relationships>
</file>

<file path=xl/worksheets/sheet1.xml><?xml version="1.0" encoding="utf-8"?>
<x:worksheet xmlns:x="http://schemas.openxmlformats.org/spreadsheetml/2006/main">
  <x:sheetPr>
    <x:tabColor rgb="FF18324A"/>
  </x:sheetPr>
  <x:sheetViews>
    <x:sheetView showGridLines="0" workbookViewId="0"/>
  </x:sheetViews>
  <x:sheetFormatPr defaultColWidth="8.6796875" defaultRowHeight="15"/>
  <x:cols>
    <x:col min="1" max="2" width="2.200000047683716" hidden="0" customWidth="1"/>
    <x:col min="3" max="3" width="17" hidden="0" customWidth="1"/>
    <x:col min="4" max="4" width="18" hidden="0" customWidth="1"/>
    <x:col min="5" max="5" width="14" hidden="0" customWidth="1"/>
    <x:col min="6" max="6" width="17" hidden="0" customWidth="1"/>
    <x:col min="7" max="7" width="18" hidden="0" customWidth="1"/>
    <x:col min="8" max="8" width="3" hidden="0" customWidth="1"/>
    <x:col min="9" max="13" width="13" hidden="0" customWidth="1"/>
    <x:col min="14" max="14" width="3" hidden="0" customWidth="1"/>
    <x:col min="15" max="17" width="14" hidden="0" customWidth="1"/>
  </x:cols>
  <x:sheetData>
    <x:row r="1" ht="15" hidden="0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5.5" hidden="0" customHeight="1">
      <x:c r="A2" s="1"/>
      <x:c r="B2" s="1"/>
      <x:c r="C2" s="2" t="s">
        <x:v>0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15" hidden="0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 ht="15" hidden="0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15" hidden="0">
      <x:c r="A5" s="1"/>
      <x:c r="B5" s="1"/>
      <x:c r="C5" s="1" t="s">
        <x:v>1</x:v>
      </x:c>
      <x:c r="D5" s="4" t="e">
        <x:f aca="0">Предпосылки!$D$4</x:f>
        <x:v>#NAME?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15" hidden="0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15" hidden="0">
      <x:c r="A7" s="1"/>
      <x:c r="B7" s="1"/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</x:row>
    <x:row r="8" ht="15" hidden="0">
      <x:c r="A8" s="1"/>
      <x:c r="B8" s="1"/>
      <x:c r="C8" s="6" t="s">
        <x:v>2</x:v>
      </x:c>
      <x:c r="D8" s="6"/>
      <x:c r="E8" s="1"/>
      <x:c r="F8" s="6" t="s">
        <x:v>3</x:v>
      </x:c>
      <x:c r="G8" s="6"/>
      <x:c r="H8" s="1"/>
      <x:c r="I8" s="6" t="s">
        <x:v>4</x:v>
      </x:c>
      <x:c r="J8" s="6"/>
      <x:c r="K8" s="1"/>
      <x:c r="L8" s="6" t="s">
        <x:v>5</x:v>
      </x:c>
      <x:c r="M8" s="6"/>
      <x:c r="N8" s="1"/>
      <x:c r="O8" s="6" t="str">
        <x:v>Срок реализации запаса 2035, лет</x:v>
      </x:c>
      <x:c r="P8" s="6"/>
      <x:c r="Q8" s="1"/>
    </x:row>
    <x:row r="9" ht="17.350000381469727" hidden="0">
      <x:c r="A9" s="1"/>
      <x:c r="B9" s="1"/>
      <x:c r="C9" s="7" t="e">
        <x:f aca="0">'Модель спроса'!Q8</x:f>
        <x:v>#NAME?</x:v>
      </x:c>
      <x:c r="D9" s="8"/>
      <x:c r="E9" s="1"/>
      <x:c r="F9" s="7" t="e">
        <x:f aca="0">'Модель спроса'!Q12</x:f>
        <x:v>#NAME?</x:v>
      </x:c>
      <x:c r="G9" s="8"/>
      <x:c r="H9" s="1"/>
      <x:c r="I9" s="7" t="e">
        <x:f aca="0">'Модель спроса'!Q17</x:f>
        <x:v>#NAME?</x:v>
      </x:c>
      <x:c r="J9" s="8"/>
      <x:c r="K9" s="1"/>
      <x:c r="L9" s="9" t="e">
        <x:f aca="0">'Модель спроса'!R17</x:f>
        <x:v>#NAME?</x:v>
      </x:c>
      <x:c r="M9" s="8"/>
      <x:c r="N9" s="1"/>
      <x:c r="O9" s="7" t="e">
        <x:f aca="0">'Баланс предложения'!M17</x:f>
        <x:v>#NAME?</x:v>
      </x:c>
      <x:c r="P9" s="8"/>
      <x:c r="Q9" s="1"/>
    </x:row>
    <x:row r="10" ht="17.350000381469727" hidden="0">
      <x:c r="A10" s="1"/>
      <x:c r="B10" s="1"/>
      <x:c r="C10" s="10"/>
      <x:c r="D10" s="10"/>
      <x:c r="E10" s="1"/>
      <x:c r="F10" s="10"/>
      <x:c r="G10" s="10"/>
      <x:c r="H10" s="1"/>
      <x:c r="I10" s="10"/>
      <x:c r="J10" s="10"/>
      <x:c r="K10" s="1"/>
      <x:c r="L10" s="10"/>
      <x:c r="M10" s="10"/>
      <x:c r="N10" s="1"/>
      <x:c r="O10" s="10"/>
      <x:c r="P10" s="10"/>
      <x:c r="Q10" s="1"/>
    </x:row>
    <x:row r="11" ht="15" hidden="0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15" hidden="0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1" hidden="0" customHeight="1">
      <x:c r="A13" s="1"/>
      <x:c r="B13" s="1"/>
      <x:c r="C13" s="11" t="s">
        <x:v>6</x:v>
      </x:c>
      <x:c r="D13" s="11"/>
      <x:c r="E13" s="11"/>
      <x:c r="F13" s="11"/>
      <x:c r="G13" s="1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57.45000076293945" hidden="0">
      <x:c r="A14" s="1"/>
      <x:c r="B14" s="1"/>
      <x:c r="C14" s="12" t="s">
        <x:v>7</x:v>
      </x:c>
      <x:c r="D14" s="13" t="str">
        <x:v>28–31 млн м²/год — базовый; 34–36 — оптимистичный; 20–23 — пессимистичный</x:v>
      </x:c>
      <x:c r="E14" s="13"/>
      <x:c r="F14" s="13"/>
      <x:c r="G14" s="13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79.8499984741211" hidden="0">
      <x:c r="A15" s="1"/>
      <x:c r="B15" s="1"/>
      <x:c r="C15" s="14" t="s">
        <x:v>8</x:v>
      </x:c>
      <x:c r="D15" s="15" t="s">
        <x:v>9</x:v>
      </x:c>
      <x:c r="E15" s="15"/>
      <x:c r="F15" s="15"/>
      <x:c r="G15" s="15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68.6500015258789" hidden="0">
      <x:c r="A16" s="1"/>
      <x:c r="B16" s="1"/>
      <x:c r="C16" s="14" t="s">
        <x:v>10</x:v>
      </x:c>
      <x:c r="D16" s="15" t="s">
        <x:v>11</x:v>
      </x:c>
      <x:c r="E16" s="15"/>
      <x:c r="F16" s="15"/>
      <x:c r="G16" s="15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57.45000076293945" hidden="0">
      <x:c r="A17" s="1"/>
      <x:c r="B17" s="1"/>
      <x:c r="C17" s="14" t="s">
        <x:v>12</x:v>
      </x:c>
      <x:c r="D17" s="15" t="s">
        <x:v>13</x:v>
      </x:c>
      <x:c r="E17" s="15"/>
      <x:c r="F17" s="15"/>
      <x:c r="G17" s="15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91" hidden="0">
      <x:c r="A18" s="1"/>
      <x:c r="B18" s="1"/>
      <x:c r="C18" s="16" t="s">
        <x:v>14</x:v>
      </x:c>
      <x:c r="D18" s="17" t="str">
        <x:v>СРЕДНЯЯ: качественная направленность, диапазонная точность; региональные продажи и рассрочки неполны</x:v>
      </x:c>
      <x:c r="E18" s="17"/>
      <x:c r="F18" s="17"/>
      <x:c r="G18" s="17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15" hidden="0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15" hidden="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15" hidden="0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7.75" hidden="0" customHeight="1">
      <x:c r="A22" s="1"/>
      <x:c r="B22" s="1"/>
      <x:c r="C22" s="18" t="s">
        <x:v>15</x:v>
      </x:c>
      <x:c r="D22" s="19" t="s">
        <x:v>16</x:v>
      </x:c>
      <x:c r="E22" s="20" t="s">
        <x:v>17</x:v>
      </x:c>
      <x:c r="F22" s="18" t="s">
        <x:v>15</x:v>
      </x:c>
      <x:c r="G22" s="20" t="s">
        <x:v>18</x:v>
      </x:c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15" hidden="0">
      <x:c r="A23" s="1"/>
      <x:c r="B23" s="1"/>
      <x:c r="C23" s="5" t="e">
        <x:f aca="0">'Модель спроса'!C8</x:f>
        <x:v>#NAME?</x:v>
      </x:c>
      <x:c r="D23" s="21" t="e">
        <x:f aca="0">'Модель спроса'!Q8</x:f>
        <x:v>#NAME?</x:v>
      </x:c>
      <x:c r="E23" s="21" t="e">
        <x:f aca="0">'Баланс предложения'!E8</x:f>
        <x:v>#NAME?</x:v>
      </x:c>
      <x:c r="F23" s="5" t="e">
        <x:f aca="0">'Баланс предложения'!C8</x:f>
        <x:v>#NAME?</x:v>
      </x:c>
      <x:c r="G23" s="21" t="e">
        <x:f aca="0">'Баланс предложения'!H8</x:f>
        <x:v>#NAME?</x:v>
      </x:c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15" hidden="0">
      <x:c r="A24" s="1"/>
      <x:c r="B24" s="1"/>
      <x:c r="C24" s="22" t="e">
        <x:f aca="0">'Модель спроса'!C9</x:f>
        <x:v>#NAME?</x:v>
      </x:c>
      <x:c r="D24" s="23" t="e">
        <x:f aca="0">'Модель спроса'!Q9</x:f>
        <x:v>#NAME?</x:v>
      </x:c>
      <x:c r="E24" s="23" t="e">
        <x:f aca="0">'Баланс предложения'!E9</x:f>
        <x:v>#NAME?</x:v>
      </x:c>
      <x:c r="F24" s="22" t="e">
        <x:f aca="0">'Баланс предложения'!C9</x:f>
        <x:v>#NAME?</x:v>
      </x:c>
      <x:c r="G24" s="23" t="e">
        <x:f aca="0">'Баланс предложения'!H9</x:f>
        <x:v>#NAME?</x:v>
      </x:c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15" hidden="0">
      <x:c r="A25" s="1"/>
      <x:c r="B25" s="1"/>
      <x:c r="C25" s="22" t="e">
        <x:f aca="0">'Модель спроса'!C10</x:f>
        <x:v>#NAME?</x:v>
      </x:c>
      <x:c r="D25" s="23" t="e">
        <x:f aca="0">'Модель спроса'!Q10</x:f>
        <x:v>#NAME?</x:v>
      </x:c>
      <x:c r="E25" s="23" t="e">
        <x:f aca="0">'Баланс предложения'!E10</x:f>
        <x:v>#NAME?</x:v>
      </x:c>
      <x:c r="F25" s="22" t="e">
        <x:f aca="0">'Баланс предложения'!C10</x:f>
        <x:v>#NAME?</x:v>
      </x:c>
      <x:c r="G25" s="23" t="e">
        <x:f aca="0">'Баланс предложения'!H10</x:f>
        <x:v>#NAME?</x:v>
      </x:c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15" hidden="0">
      <x:c r="A26" s="1"/>
      <x:c r="B26" s="1"/>
      <x:c r="C26" s="22" t="e">
        <x:f aca="0">'Модель спроса'!C11</x:f>
        <x:v>#NAME?</x:v>
      </x:c>
      <x:c r="D26" s="23" t="e">
        <x:f aca="0">'Модель спроса'!Q11</x:f>
        <x:v>#NAME?</x:v>
      </x:c>
      <x:c r="E26" s="23" t="e">
        <x:f aca="0">'Баланс предложения'!E11</x:f>
        <x:v>#NAME?</x:v>
      </x:c>
      <x:c r="F26" s="22" t="e">
        <x:f aca="0">'Баланс предложения'!C11</x:f>
        <x:v>#NAME?</x:v>
      </x:c>
      <x:c r="G26" s="23" t="e">
        <x:f aca="0">'Баланс предложения'!H11</x:f>
        <x:v>#NAME?</x:v>
      </x:c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15" hidden="0">
      <x:c r="A27" s="1"/>
      <x:c r="B27" s="1"/>
      <x:c r="C27" s="22" t="e">
        <x:f aca="0">'Модель спроса'!C12</x:f>
        <x:v>#NAME?</x:v>
      </x:c>
      <x:c r="D27" s="23" t="e">
        <x:f aca="0">'Модель спроса'!Q12</x:f>
        <x:v>#NAME?</x:v>
      </x:c>
      <x:c r="E27" s="23" t="e">
        <x:f aca="0">'Баланс предложения'!E12</x:f>
        <x:v>#NAME?</x:v>
      </x:c>
      <x:c r="F27" s="22" t="e">
        <x:f aca="0">'Баланс предложения'!C12</x:f>
        <x:v>#NAME?</x:v>
      </x:c>
      <x:c r="G27" s="23" t="e">
        <x:f aca="0">'Баланс предложения'!H12</x:f>
        <x:v>#NAME?</x:v>
      </x:c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15" hidden="0">
      <x:c r="A28" s="1"/>
      <x:c r="B28" s="1"/>
      <x:c r="C28" s="22" t="e">
        <x:f aca="0">'Модель спроса'!C13</x:f>
        <x:v>#NAME?</x:v>
      </x:c>
      <x:c r="D28" s="23" t="e">
        <x:f aca="0">'Модель спроса'!Q13</x:f>
        <x:v>#NAME?</x:v>
      </x:c>
      <x:c r="E28" s="23" t="e">
        <x:f aca="0">'Баланс предложения'!E13</x:f>
        <x:v>#NAME?</x:v>
      </x:c>
      <x:c r="F28" s="22" t="e">
        <x:f aca="0">'Баланс предложения'!C13</x:f>
        <x:v>#NAME?</x:v>
      </x:c>
      <x:c r="G28" s="23" t="e">
        <x:f aca="0">'Баланс предложения'!H13</x:f>
        <x:v>#NAME?</x:v>
      </x:c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15" hidden="0">
      <x:c r="A29" s="1"/>
      <x:c r="B29" s="1"/>
      <x:c r="C29" s="22" t="e">
        <x:f aca="0">'Модель спроса'!C14</x:f>
        <x:v>#NAME?</x:v>
      </x:c>
      <x:c r="D29" s="23" t="e">
        <x:f aca="0">'Модель спроса'!Q14</x:f>
        <x:v>#NAME?</x:v>
      </x:c>
      <x:c r="E29" s="23" t="e">
        <x:f aca="0">'Баланс предложения'!E14</x:f>
        <x:v>#NAME?</x:v>
      </x:c>
      <x:c r="F29" s="22" t="e">
        <x:f aca="0">'Баланс предложения'!C14</x:f>
        <x:v>#NAME?</x:v>
      </x:c>
      <x:c r="G29" s="23" t="e">
        <x:f aca="0">'Баланс предложения'!H14</x:f>
        <x:v>#NAME?</x:v>
      </x:c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15" hidden="0">
      <x:c r="A30" s="1"/>
      <x:c r="B30" s="1"/>
      <x:c r="C30" s="22" t="e">
        <x:f aca="0">'Модель спроса'!C15</x:f>
        <x:v>#NAME?</x:v>
      </x:c>
      <x:c r="D30" s="23" t="e">
        <x:f aca="0">'Модель спроса'!Q15</x:f>
        <x:v>#NAME?</x:v>
      </x:c>
      <x:c r="E30" s="23" t="e">
        <x:f aca="0">'Баланс предложения'!E15</x:f>
        <x:v>#NAME?</x:v>
      </x:c>
      <x:c r="F30" s="22" t="e">
        <x:f aca="0">'Баланс предложения'!C15</x:f>
        <x:v>#NAME?</x:v>
      </x:c>
      <x:c r="G30" s="23" t="e">
        <x:f aca="0">'Баланс предложения'!H15</x:f>
        <x:v>#NAME?</x:v>
      </x:c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15" hidden="0">
      <x:c r="A31" s="1"/>
      <x:c r="B31" s="1"/>
      <x:c r="C31" s="22" t="e">
        <x:f aca="0">'Модель спроса'!C16</x:f>
        <x:v>#NAME?</x:v>
      </x:c>
      <x:c r="D31" s="23" t="e">
        <x:f aca="0">'Модель спроса'!Q16</x:f>
        <x:v>#NAME?</x:v>
      </x:c>
      <x:c r="E31" s="23" t="e">
        <x:f aca="0">'Баланс предложения'!E16</x:f>
        <x:v>#NAME?</x:v>
      </x:c>
      <x:c r="F31" s="22" t="e">
        <x:f aca="0">'Баланс предложения'!C16</x:f>
        <x:v>#NAME?</x:v>
      </x:c>
      <x:c r="G31" s="23" t="e">
        <x:f aca="0">'Баланс предложения'!H16</x:f>
        <x:v>#NAME?</x:v>
      </x:c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15" hidden="0">
      <x:c r="A32" s="1"/>
      <x:c r="B32" s="1"/>
      <x:c r="C32" s="24" t="e">
        <x:f aca="0">'Модель спроса'!C17</x:f>
        <x:v>#NAME?</x:v>
      </x:c>
      <x:c r="D32" s="25" t="e">
        <x:f aca="0">'Модель спроса'!Q17</x:f>
        <x:v>#NAME?</x:v>
      </x:c>
      <x:c r="E32" s="25" t="e">
        <x:f aca="0">'Баланс предложения'!E17</x:f>
        <x:v>#NAME?</x:v>
      </x:c>
      <x:c r="F32" s="24" t="e">
        <x:f aca="0">'Баланс предложения'!C17</x:f>
        <x:v>#NAME?</x:v>
      </x:c>
      <x:c r="G32" s="25" t="e">
        <x:f aca="0">'Баланс предложения'!H17</x:f>
        <x:v>#NAME?</x:v>
      </x:c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15" hidden="0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15" hidden="0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64.1500015258789" hidden="0">
      <x:c r="A35" s="1"/>
      <x:c r="B35" s="1"/>
      <x:c r="C35" s="26" t="s">
        <x:v>19</x:v>
      </x:c>
      <x:c r="D35" s="27" t="s">
        <x:v>20</x:v>
      </x:c>
      <x:c r="E35" s="27"/>
      <x:c r="F35" s="27"/>
      <x:c r="G35" s="27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74.5999984741211" hidden="0">
      <x:c r="A36" s="1"/>
      <x:c r="B36" s="1"/>
      <x:c r="C36" s="26" t="s">
        <x:v>21</x:v>
      </x:c>
      <x:c r="D36" s="27" t="s">
        <x:v>22</x:v>
      </x:c>
      <x:c r="E36" s="27"/>
      <x:c r="F36" s="27"/>
      <x:c r="G36" s="27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74.5999984741211" hidden="0">
      <x:c r="A37" s="1"/>
      <x:c r="B37" s="1"/>
      <x:c r="C37" s="26" t="s">
        <x:v>23</x:v>
      </x:c>
      <x:c r="D37" s="27" t="s">
        <x:v>24</x:v>
      </x:c>
      <x:c r="E37" s="27"/>
      <x:c r="F37" s="27"/>
      <x:c r="G37" s="27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85.05000305175781" hidden="0">
      <x:c r="A38" s="1"/>
      <x:c r="B38" s="1"/>
      <x:c r="C38" s="26" t="s">
        <x:v>25</x:v>
      </x:c>
      <x:c r="D38" s="27" t="str">
        <x:v>ФАКТ / ДОПУЩЕНИЕ / РАСЧЁТ / ПРОГНОЗ / НЕТ ПОДТВЕРЖДЁННЫХ ДАННЫХ сохранены в соответствующих листах.</x:v>
      </x:c>
      <x:c r="E38" s="27"/>
      <x:c r="F38" s="27"/>
      <x:c r="G38" s="27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15" hidden="0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15" hidden="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15" hidden="0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15" hidden="0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</x:sheetData>
  <x:pageMargins left="0.7" right="0.7" top="0.75" bottom="0.75" header="0.3" footer="0.3"/>
  <x:drawing xmlns:r="http://schemas.openxmlformats.org/officeDocument/2006/relationships" r:id="Rd270af5060624c2c"/>
</x:worksheet>
</file>

<file path=xl/worksheets/sheet2.xml><?xml version="1.0" encoding="utf-8"?>
<x:worksheet xmlns:x="http://schemas.openxmlformats.org/spreadsheetml/2006/main">
  <x:sheetPr>
    <x:tabColor rgb="FF2E5E86"/>
  </x:sheetPr>
  <x:sheetViews>
    <x:sheetView showGridLines="0" workbookViewId="0"/>
  </x:sheetViews>
  <x:sheetFormatPr defaultColWidth="8.6796875" defaultRowHeight="15"/>
  <x:cols>
    <x:col min="1" max="2" width="2.200000047683716" hidden="0" customWidth="1"/>
    <x:col min="3" max="3" width="40" hidden="0" customWidth="1"/>
    <x:col min="4" max="7" width="13" hidden="0" customWidth="1"/>
    <x:col min="8" max="8" width="25" hidden="0" customWidth="1"/>
    <x:col min="9" max="9" width="12" hidden="0" customWidth="1"/>
    <x:col min="10" max="10" width="13" hidden="0" customWidth="1"/>
    <x:col min="11" max="11" width="16" hidden="0" customWidth="1"/>
    <x:col min="12" max="13" width="13" hidden="0" customWidth="1"/>
  </x:cols>
  <x:sheetData>
    <x:row r="1" ht="15" hidden="0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5.5" hidden="0" customHeight="1">
      <x:c r="A2" s="1"/>
      <x:c r="B2" s="1"/>
      <x:c r="C2" s="2" t="s">
        <x:v>26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15" hidden="0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15" hidden="0">
      <x:c r="A4" s="1"/>
      <x:c r="B4" s="1"/>
      <x:c r="C4" s="28" t="n">
        <x:v>1</x:v>
      </x:c>
      <x:c r="D4" s="29" t="str">
        <x:f aca="0">CHOOSE($C$4,"Базовый","Оптимистичный","Пессимистичный")</x:f>
        <x:v>Базовый</x:v>
      </x:c>
      <x:c r="E4" s="30" t="str">
        <x:v>1 = Базовый, 2 = Оптимистичный, 3 = Пессимистичный</x:v>
      </x:c>
      <x:c r="F4" s="1"/>
      <x:c r="G4" s="1"/>
      <x:c r="H4" s="1"/>
      <x:c r="I4" s="1"/>
      <x:c r="J4" s="1"/>
      <x:c r="K4" s="1"/>
      <x:c r="L4" s="1"/>
      <x:c r="M4" s="1"/>
      <x:c r="N4" s="1"/>
    </x:row>
    <x:row r="5" ht="15" hidden="0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15" hidden="0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1" hidden="0" customHeight="1">
      <x:c r="A7" s="1"/>
      <x:c r="B7" s="1"/>
      <x:c r="C7" s="11" t="s">
        <x:v>27</x:v>
      </x:c>
      <x:c r="D7" s="11"/>
      <x:c r="E7" s="11"/>
      <x:c r="F7" s="11"/>
      <x:c r="G7" s="11"/>
      <x:c r="H7" s="11"/>
      <x:c r="I7" s="1"/>
      <x:c r="J7" s="1"/>
      <x:c r="K7" s="1"/>
      <x:c r="L7" s="1"/>
      <x:c r="M7" s="1"/>
      <x:c r="N7" s="1"/>
    </x:row>
    <x:row r="8" ht="27.75" hidden="0" customHeight="1">
      <x:c r="A8" s="1"/>
      <x:c r="B8" s="1"/>
      <x:c r="C8" s="18" t="s">
        <x:v>28</x:v>
      </x:c>
      <x:c r="D8" s="19" t="s">
        <x:v>29</x:v>
      </x:c>
      <x:c r="E8" s="19" t="s">
        <x:v>30</x:v>
      </x:c>
      <x:c r="F8" s="20" t="s">
        <x:v>31</x:v>
      </x:c>
      <x:c r="G8" s="1"/>
      <x:c r="H8" s="18" t="s">
        <x:v>32</x:v>
      </x:c>
      <x:c r="I8" s="19" t="s">
        <x:v>29</x:v>
      </x:c>
      <x:c r="J8" s="19" t="s">
        <x:v>30</x:v>
      </x:c>
      <x:c r="K8" s="20" t="s">
        <x:v>33</x:v>
      </x:c>
      <x:c r="L8" s="1"/>
      <x:c r="M8" s="1"/>
      <x:c r="N8" s="1"/>
    </x:row>
    <x:row r="9" ht="15" hidden="0">
      <x:c r="A9" s="1"/>
      <x:c r="B9" s="1"/>
      <x:c r="C9" s="5" t="s">
        <x:v>34</x:v>
      </x:c>
      <x:c r="D9" s="31" t="n">
        <x:v>49</x:v>
      </x:c>
      <x:c r="E9" s="5" t="s">
        <x:v>35</x:v>
      </x:c>
      <x:c r="F9" s="5" t="s">
        <x:v>36</x:v>
      </x:c>
      <x:c r="G9" s="1"/>
      <x:c r="H9" s="5" t="s">
        <x:v>37</x:v>
      </x:c>
      <x:c r="I9" s="32" t="n">
        <x:v>0</x:v>
      </x:c>
      <x:c r="J9" s="5" t="s">
        <x:v>38</x:v>
      </x:c>
      <x:c r="K9" s="33" t="n">
        <x:v>-0.55</x:v>
      </x:c>
      <x:c r="L9" s="1"/>
      <x:c r="M9" s="1"/>
      <x:c r="N9" s="1"/>
    </x:row>
    <x:row r="10" ht="15" hidden="0">
      <x:c r="A10" s="1"/>
      <x:c r="B10" s="1"/>
      <x:c r="C10" s="22" t="s">
        <x:v>39</x:v>
      </x:c>
      <x:c r="D10" s="34" t="n">
        <x:v>54</x:v>
      </x:c>
      <x:c r="E10" s="22" t="s">
        <x:v>40</x:v>
      </x:c>
      <x:c r="F10" s="22" t="s">
        <x:v>36</x:v>
      </x:c>
      <x:c r="G10" s="1"/>
      <x:c r="H10" s="22" t="s">
        <x:v>41</x:v>
      </x:c>
      <x:c r="I10" s="35" t="n">
        <x:v>0</x:v>
      </x:c>
      <x:c r="J10" s="22" t="s">
        <x:v>42</x:v>
      </x:c>
      <x:c r="K10" s="36" t="n">
        <x:v>-0.24</x:v>
      </x:c>
      <x:c r="L10" s="1"/>
      <x:c r="M10" s="1"/>
      <x:c r="N10" s="1"/>
    </x:row>
    <x:row r="11" ht="15" hidden="0">
      <x:c r="A11" s="1"/>
      <x:c r="B11" s="1"/>
      <x:c r="C11" s="22" t="s">
        <x:v>43</x:v>
      </x:c>
      <x:c r="D11" s="37" t="n">
        <x:v>203125</x:v>
      </x:c>
      <x:c r="E11" s="22" t="s">
        <x:v>44</x:v>
      </x:c>
      <x:c r="F11" s="22" t="s">
        <x:v>45</x:v>
      </x:c>
      <x:c r="G11" s="1"/>
      <x:c r="H11" s="22" t="s">
        <x:v>46</x:v>
      </x:c>
      <x:c r="I11" s="35" t="n">
        <x:v>0</x:v>
      </x:c>
      <x:c r="J11" s="22" t="s">
        <x:v>42</x:v>
      </x:c>
      <x:c r="K11" s="36" t="n">
        <x:v>0.21</x:v>
      </x:c>
      <x:c r="L11" s="1"/>
      <x:c r="M11" s="1"/>
      <x:c r="N11" s="1"/>
    </x:row>
    <x:row r="12" ht="15" hidden="0">
      <x:c r="A12" s="1"/>
      <x:c r="B12" s="1"/>
      <x:c r="C12" s="22" t="s">
        <x:v>47</x:v>
      </x:c>
      <x:c r="D12" s="37" t="n">
        <x:v>80</x:v>
      </x:c>
      <x:c r="E12" s="22" t="s">
        <x:v>48</x:v>
      </x:c>
      <x:c r="F12" s="22" t="s">
        <x:v>36</x:v>
      </x:c>
      <x:c r="G12" s="1"/>
      <x:c r="H12" s="22" t="s">
        <x:v>49</x:v>
      </x:c>
      <x:c r="I12" s="35" t="n">
        <x:v>0</x:v>
      </x:c>
      <x:c r="J12" s="22" t="s">
        <x:v>38</x:v>
      </x:c>
      <x:c r="K12" s="36" t="n">
        <x:v>-0.21</x:v>
      </x:c>
      <x:c r="L12" s="1"/>
      <x:c r="M12" s="1"/>
      <x:c r="N12" s="1"/>
    </x:row>
    <x:row r="13" ht="15" hidden="0">
      <x:c r="A13" s="1"/>
      <x:c r="B13" s="1"/>
      <x:c r="C13" s="22" t="s">
        <x:v>50</x:v>
      </x:c>
      <x:c r="D13" s="37" t="n">
        <x:v>224796</x:v>
      </x:c>
      <x:c r="E13" s="22" t="s">
        <x:v>51</x:v>
      </x:c>
      <x:c r="F13" s="22" t="s">
        <x:v>45</x:v>
      </x:c>
      <x:c r="G13" s="1"/>
      <x:c r="H13" s="22" t="s">
        <x:v>52</x:v>
      </x:c>
      <x:c r="I13" s="35" t="n">
        <x:v>0</x:v>
      </x:c>
      <x:c r="J13" s="22" t="s">
        <x:v>53</x:v>
      </x:c>
      <x:c r="K13" s="36" t="n">
        <x:v>0.0025</x:v>
      </x:c>
      <x:c r="L13" s="1"/>
      <x:c r="M13" s="1"/>
      <x:c r="N13" s="1"/>
    </x:row>
    <x:row r="14" ht="15" hidden="0">
      <x:c r="A14" s="1"/>
      <x:c r="B14" s="1"/>
      <x:c r="C14" s="22" t="s">
        <x:v>54</x:v>
      </x:c>
      <x:c r="D14" s="38" t="n">
        <x:f aca="0">$E$74</x:f>
        <x:v>165000</x:v>
      </x:c>
      <x:c r="E14" s="22" t="s">
        <x:v>51</x:v>
      </x:c>
      <x:c r="F14" s="22" t="s">
        <x:v>45</x:v>
      </x:c>
      <x:c r="G14" s="1"/>
      <x:c r="H14" s="24" t="s">
        <x:v>55</x:v>
      </x:c>
      <x:c r="I14" s="39" t="n">
        <x:v>0</x:v>
      </x:c>
      <x:c r="J14" s="24" t="s">
        <x:v>56</x:v>
      </x:c>
      <x:c r="K14" s="40" t="n">
        <x:v>-30</x:v>
      </x:c>
      <x:c r="L14" s="1"/>
      <x:c r="M14" s="1"/>
      <x:c r="N14" s="1"/>
    </x:row>
    <x:row r="15" ht="15" hidden="0">
      <x:c r="A15" s="1"/>
      <x:c r="B15" s="1"/>
      <x:c r="C15" s="22" t="s">
        <x:v>57</x:v>
      </x:c>
      <x:c r="D15" s="41" t="n">
        <x:v>0.45</x:v>
      </x:c>
      <x:c r="E15" s="22" t="s">
        <x:v>58</x:v>
      </x:c>
      <x:c r="F15" s="22" t="s">
        <x:v>36</x:v>
      </x:c>
      <x:c r="G15" s="1"/>
      <x:c r="H15" s="1"/>
      <x:c r="I15" s="1"/>
      <x:c r="J15" s="1"/>
      <x:c r="K15" s="1"/>
      <x:c r="L15" s="1"/>
      <x:c r="M15" s="1"/>
      <x:c r="N15" s="1"/>
    </x:row>
    <x:row r="16" ht="15" hidden="0">
      <x:c r="A16" s="1"/>
      <x:c r="B16" s="1"/>
      <x:c r="C16" s="22" t="s">
        <x:v>49</x:v>
      </x:c>
      <x:c r="D16" s="41" t="n">
        <x:v>0.3</x:v>
      </x:c>
      <x:c r="E16" s="22" t="s">
        <x:v>59</x:v>
      </x:c>
      <x:c r="F16" s="22" t="s">
        <x:v>36</x:v>
      </x:c>
      <x:c r="G16" s="1"/>
      <x:c r="H16" s="30" t="s">
        <x:v>60</x:v>
      </x:c>
      <x:c r="I16" s="30" t="s">
        <x:v>61</x:v>
      </x:c>
      <x:c r="J16" s="30"/>
      <x:c r="K16" s="30" t="s">
        <x:v>62</x:v>
      </x:c>
      <x:c r="L16" s="1"/>
      <x:c r="M16" s="1"/>
      <x:c r="N16" s="1"/>
    </x:row>
    <x:row r="17" ht="15" hidden="0">
      <x:c r="A17" s="1"/>
      <x:c r="B17" s="1"/>
      <x:c r="C17" s="22" t="s">
        <x:v>63</x:v>
      </x:c>
      <x:c r="D17" s="42" t="n">
        <x:v>25</x:v>
      </x:c>
      <x:c r="E17" s="22" t="s">
        <x:v>64</x:v>
      </x:c>
      <x:c r="F17" s="22" t="s">
        <x:v>36</x:v>
      </x:c>
      <x:c r="G17" s="1"/>
      <x:c r="H17" s="30" t="s">
        <x:v>65</x:v>
      </x:c>
      <x:c r="I17" s="30" t="s">
        <x:v>66</x:v>
      </x:c>
      <x:c r="J17" s="30"/>
      <x:c r="K17" s="30" t="s">
        <x:v>67</x:v>
      </x:c>
      <x:c r="L17" s="1"/>
      <x:c r="M17" s="1"/>
      <x:c r="N17" s="1"/>
    </x:row>
    <x:row r="18" ht="15" hidden="0">
      <x:c r="A18" s="1"/>
      <x:c r="B18" s="1"/>
      <x:c r="C18" s="24" t="s">
        <x:v>68</x:v>
      </x:c>
      <x:c r="D18" s="43" t="n">
        <x:v>12</x:v>
      </x:c>
      <x:c r="E18" s="24" t="s">
        <x:v>48</x:v>
      </x:c>
      <x:c r="F18" s="24" t="s">
        <x:v>36</x:v>
      </x:c>
      <x:c r="G18" s="1"/>
      <x:c r="H18" s="30" t="s">
        <x:v>55</x:v>
      </x:c>
      <x:c r="I18" s="30" t="s">
        <x:v>69</x:v>
      </x:c>
      <x:c r="J18" s="30"/>
      <x:c r="K18" s="30" t="s">
        <x:v>70</x:v>
      </x:c>
      <x:c r="L18" s="1"/>
      <x:c r="M18" s="1"/>
      <x:c r="N18" s="1"/>
    </x:row>
    <x:row r="19" ht="15" hidden="0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 ht="15" hidden="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7.75" hidden="0" customHeight="1">
      <x:c r="A21" s="1"/>
      <x:c r="B21" s="1"/>
      <x:c r="C21" s="18" t="s">
        <x:v>71</x:v>
      </x:c>
      <x:c r="D21" s="19" t="n">
        <x:v>2026</x:v>
      </x:c>
      <x:c r="E21" s="19" t="n">
        <x:v>2027</x:v>
      </x:c>
      <x:c r="F21" s="19" t="n">
        <x:v>2028</x:v>
      </x:c>
      <x:c r="G21" s="19" t="n">
        <x:v>2029</x:v>
      </x:c>
      <x:c r="H21" s="19" t="n">
        <x:v>2030</x:v>
      </x:c>
      <x:c r="I21" s="19" t="n">
        <x:v>2031</x:v>
      </x:c>
      <x:c r="J21" s="19" t="n">
        <x:v>2032</x:v>
      </x:c>
      <x:c r="K21" s="19" t="n">
        <x:v>2033</x:v>
      </x:c>
      <x:c r="L21" s="19" t="n">
        <x:v>2034</x:v>
      </x:c>
      <x:c r="M21" s="20" t="n">
        <x:v>2035</x:v>
      </x:c>
      <x:c r="N21" s="1"/>
    </x:row>
    <x:row r="22" ht="15" hidden="0">
      <x:c r="A22" s="1"/>
      <x:c r="B22" s="1"/>
      <x:c r="C22" s="44" t="s">
        <x:v>72</x:v>
      </x:c>
      <x:c r="D22" s="45" t="n">
        <x:f aca="0">CHOOSE($C$4,D23,D24,D25)</x:f>
        <x:v>66.45</x:v>
      </x:c>
      <x:c r="E22" s="45" t="n">
        <x:f aca="0">CHOOSE($C$4,E23,E24,E25)</x:f>
        <x:v>66.52</x:v>
      </x:c>
      <x:c r="F22" s="45" t="n">
        <x:f aca="0">CHOOSE($C$4,F23,F24,F25)</x:f>
        <x:v>66.6</x:v>
      </x:c>
      <x:c r="G22" s="45" t="n">
        <x:f aca="0">CHOOSE($C$4,G23,G24,G25)</x:f>
        <x:v>66.67</x:v>
      </x:c>
      <x:c r="H22" s="45" t="n">
        <x:f aca="0">CHOOSE($C$4,H23,H24,H25)</x:f>
        <x:v>66.73</x:v>
      </x:c>
      <x:c r="I22" s="45" t="n">
        <x:f aca="0">CHOOSE($C$4,I23,I24,I25)</x:f>
        <x:v>66.78</x:v>
      </x:c>
      <x:c r="J22" s="45" t="n">
        <x:f aca="0">CHOOSE($C$4,J23,J24,J25)</x:f>
        <x:v>66.82</x:v>
      </x:c>
      <x:c r="K22" s="45" t="n">
        <x:f aca="0">CHOOSE($C$4,K23,K24,K25)</x:f>
        <x:v>66.85</x:v>
      </x:c>
      <x:c r="L22" s="45" t="n">
        <x:f aca="0">CHOOSE($C$4,L23,L24,L25)</x:f>
        <x:v>66.87</x:v>
      </x:c>
      <x:c r="M22" s="45" t="n">
        <x:f aca="0">CHOOSE($C$4,M23,M24,M25)</x:f>
        <x:v>66.88</x:v>
      </x:c>
      <x:c r="N22" s="1"/>
    </x:row>
    <x:row r="23" ht="15" hidden="0">
      <x:c r="A23" s="1"/>
      <x:c r="B23" s="1"/>
      <x:c r="C23" s="1" t="s">
        <x:v>73</x:v>
      </x:c>
      <x:c r="D23" s="46" t="n">
        <x:v>66.45</x:v>
      </x:c>
      <x:c r="E23" s="46" t="n">
        <x:v>66.52</x:v>
      </x:c>
      <x:c r="F23" s="46" t="n">
        <x:v>66.6</x:v>
      </x:c>
      <x:c r="G23" s="46" t="n">
        <x:v>66.67</x:v>
      </x:c>
      <x:c r="H23" s="46" t="n">
        <x:v>66.73</x:v>
      </x:c>
      <x:c r="I23" s="46" t="n">
        <x:v>66.78</x:v>
      </x:c>
      <x:c r="J23" s="46" t="n">
        <x:v>66.82</x:v>
      </x:c>
      <x:c r="K23" s="46" t="n">
        <x:v>66.85</x:v>
      </x:c>
      <x:c r="L23" s="46" t="n">
        <x:v>66.87</x:v>
      </x:c>
      <x:c r="M23" s="46" t="n">
        <x:v>66.88</x:v>
      </x:c>
      <x:c r="N23" s="1"/>
    </x:row>
    <x:row r="24" ht="15" hidden="0">
      <x:c r="A24" s="1"/>
      <x:c r="B24" s="1"/>
      <x:c r="C24" s="1" t="s">
        <x:v>74</x:v>
      </x:c>
      <x:c r="D24" s="46" t="n">
        <x:v>66.5</x:v>
      </x:c>
      <x:c r="E24" s="46" t="n">
        <x:v>66.65</x:v>
      </x:c>
      <x:c r="F24" s="46" t="n">
        <x:v>66.8</x:v>
      </x:c>
      <x:c r="G24" s="46" t="n">
        <x:v>66.95</x:v>
      </x:c>
      <x:c r="H24" s="46" t="n">
        <x:v>67.1</x:v>
      </x:c>
      <x:c r="I24" s="46" t="n">
        <x:v>67.25</x:v>
      </x:c>
      <x:c r="J24" s="46" t="n">
        <x:v>67.38</x:v>
      </x:c>
      <x:c r="K24" s="46" t="n">
        <x:v>67.5</x:v>
      </x:c>
      <x:c r="L24" s="46" t="n">
        <x:v>67.6</x:v>
      </x:c>
      <x:c r="M24" s="46" t="n">
        <x:v>67.7</x:v>
      </x:c>
      <x:c r="N24" s="1"/>
    </x:row>
    <x:row r="25" ht="15" hidden="0">
      <x:c r="A25" s="1"/>
      <x:c r="B25" s="1"/>
      <x:c r="C25" s="1" t="s">
        <x:v>75</x:v>
      </x:c>
      <x:c r="D25" s="46" t="n">
        <x:v>66.35</x:v>
      </x:c>
      <x:c r="E25" s="46" t="n">
        <x:v>66.28</x:v>
      </x:c>
      <x:c r="F25" s="46" t="n">
        <x:v>66.2</x:v>
      </x:c>
      <x:c r="G25" s="46" t="n">
        <x:v>66.1</x:v>
      </x:c>
      <x:c r="H25" s="46" t="n">
        <x:v>66</x:v>
      </x:c>
      <x:c r="I25" s="46" t="n">
        <x:v>65.88</x:v>
      </x:c>
      <x:c r="J25" s="46" t="n">
        <x:v>65.75</x:v>
      </x:c>
      <x:c r="K25" s="46" t="n">
        <x:v>65.6</x:v>
      </x:c>
      <x:c r="L25" s="46" t="n">
        <x:v>65.45</x:v>
      </x:c>
      <x:c r="M25" s="46" t="n">
        <x:v>65.3</x:v>
      </x:c>
      <x:c r="N25" s="1"/>
    </x:row>
    <x:row r="26" ht="15" hidden="0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 ht="15" hidden="0">
      <x:c r="A27" s="1"/>
      <x:c r="B27" s="1"/>
      <x:c r="C27" s="44" t="s">
        <x:v>76</x:v>
      </x:c>
      <x:c r="D27" s="47" t="n">
        <x:f aca="0">CHOOSE($C$4,D28,D29,D30)</x:f>
        <x:v>51.2</x:v>
      </x:c>
      <x:c r="E27" s="47" t="n">
        <x:f aca="0">CHOOSE($C$4,E28,E29,E30)</x:f>
        <x:v>51.2</x:v>
      </x:c>
      <x:c r="F27" s="47" t="n">
        <x:f aca="0">CHOOSE($C$4,F28,F29,F30)</x:f>
        <x:v>51.1</x:v>
      </x:c>
      <x:c r="G27" s="47" t="n">
        <x:f aca="0">CHOOSE($C$4,G28,G29,G30)</x:f>
        <x:v>51</x:v>
      </x:c>
      <x:c r="H27" s="47" t="n">
        <x:f aca="0">CHOOSE($C$4,H28,H29,H30)</x:f>
        <x:v>50.9</x:v>
      </x:c>
      <x:c r="I27" s="47" t="n">
        <x:f aca="0">CHOOSE($C$4,I28,I29,I30)</x:f>
        <x:v>50.7</x:v>
      </x:c>
      <x:c r="J27" s="47" t="n">
        <x:f aca="0">CHOOSE($C$4,J28,J29,J30)</x:f>
        <x:v>50.5</x:v>
      </x:c>
      <x:c r="K27" s="47" t="n">
        <x:f aca="0">CHOOSE($C$4,K28,K29,K30)</x:f>
        <x:v>50.3</x:v>
      </x:c>
      <x:c r="L27" s="47" t="n">
        <x:f aca="0">CHOOSE($C$4,L28,L29,L30)</x:f>
        <x:v>50</x:v>
      </x:c>
      <x:c r="M27" s="47" t="n">
        <x:f aca="0">CHOOSE($C$4,M28,M29,M30)</x:f>
        <x:v>49.8</x:v>
      </x:c>
      <x:c r="N27" s="1"/>
    </x:row>
    <x:row r="28" ht="15" hidden="0">
      <x:c r="A28" s="1"/>
      <x:c r="B28" s="1"/>
      <x:c r="C28" s="1" t="s">
        <x:v>73</x:v>
      </x:c>
      <x:c r="D28" s="48" t="n">
        <x:v>51.2</x:v>
      </x:c>
      <x:c r="E28" s="48" t="n">
        <x:v>51.2</x:v>
      </x:c>
      <x:c r="F28" s="48" t="n">
        <x:v>51.1</x:v>
      </x:c>
      <x:c r="G28" s="48" t="n">
        <x:v>51</x:v>
      </x:c>
      <x:c r="H28" s="48" t="n">
        <x:v>50.9</x:v>
      </x:c>
      <x:c r="I28" s="48" t="n">
        <x:v>50.7</x:v>
      </x:c>
      <x:c r="J28" s="48" t="n">
        <x:v>50.5</x:v>
      </x:c>
      <x:c r="K28" s="48" t="n">
        <x:v>50.3</x:v>
      </x:c>
      <x:c r="L28" s="48" t="n">
        <x:v>50</x:v>
      </x:c>
      <x:c r="M28" s="48" t="n">
        <x:v>49.8</x:v>
      </x:c>
      <x:c r="N28" s="1"/>
    </x:row>
    <x:row r="29" ht="15" hidden="0">
      <x:c r="A29" s="1"/>
      <x:c r="B29" s="1"/>
      <x:c r="C29" s="1" t="s">
        <x:v>74</x:v>
      </x:c>
      <x:c r="D29" s="48" t="n">
        <x:v>51.5</x:v>
      </x:c>
      <x:c r="E29" s="48" t="n">
        <x:v>52</x:v>
      </x:c>
      <x:c r="F29" s="48" t="n">
        <x:v>52.5</x:v>
      </x:c>
      <x:c r="G29" s="48" t="n">
        <x:v>53</x:v>
      </x:c>
      <x:c r="H29" s="48" t="n">
        <x:v>53.4</x:v>
      </x:c>
      <x:c r="I29" s="48" t="n">
        <x:v>53.7</x:v>
      </x:c>
      <x:c r="J29" s="48" t="n">
        <x:v>53.9</x:v>
      </x:c>
      <x:c r="K29" s="48" t="n">
        <x:v>54</x:v>
      </x:c>
      <x:c r="L29" s="48" t="n">
        <x:v>54</x:v>
      </x:c>
      <x:c r="M29" s="48" t="n">
        <x:v>54</x:v>
      </x:c>
      <x:c r="N29" s="1"/>
    </x:row>
    <x:row r="30" ht="15" hidden="0">
      <x:c r="A30" s="1"/>
      <x:c r="B30" s="1"/>
      <x:c r="C30" s="1" t="s">
        <x:v>75</x:v>
      </x:c>
      <x:c r="D30" s="48" t="n">
        <x:v>50.5</x:v>
      </x:c>
      <x:c r="E30" s="48" t="n">
        <x:v>49.8</x:v>
      </x:c>
      <x:c r="F30" s="48" t="n">
        <x:v>49</x:v>
      </x:c>
      <x:c r="G30" s="48" t="n">
        <x:v>48.2</x:v>
      </x:c>
      <x:c r="H30" s="48" t="n">
        <x:v>47.5</x:v>
      </x:c>
      <x:c r="I30" s="48" t="n">
        <x:v>46.8</x:v>
      </x:c>
      <x:c r="J30" s="48" t="n">
        <x:v>46</x:v>
      </x:c>
      <x:c r="K30" s="48" t="n">
        <x:v>45.2</x:v>
      </x:c>
      <x:c r="L30" s="48" t="n">
        <x:v>44.5</x:v>
      </x:c>
      <x:c r="M30" s="48" t="n">
        <x:v>43.8</x:v>
      </x:c>
      <x:c r="N30" s="1"/>
    </x:row>
    <x:row r="31" ht="15" hidden="0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 ht="15" hidden="0">
      <x:c r="A32" s="1"/>
      <x:c r="B32" s="1"/>
      <x:c r="C32" s="44" t="str">
        <x:v>Ипотечная доступность, доля домохозяйств — активный</x:v>
      </x:c>
      <x:c r="D32" s="49" t="n">
        <x:f aca="0">CHOOSE($C$4,D33,D34,D35)</x:f>
        <x:v>0.25</x:v>
      </x:c>
      <x:c r="E32" s="49" t="n">
        <x:f aca="0">CHOOSE($C$4,E33,E34,E35)</x:f>
        <x:v>0.31</x:v>
      </x:c>
      <x:c r="F32" s="49" t="n">
        <x:f aca="0">CHOOSE($C$4,F33,F34,F35)</x:f>
        <x:v>0.38</x:v>
      </x:c>
      <x:c r="G32" s="49" t="n">
        <x:f aca="0">CHOOSE($C$4,G33,G34,G35)</x:f>
        <x:v>0.42</x:v>
      </x:c>
      <x:c r="H32" s="49" t="n">
        <x:f aca="0">CHOOSE($C$4,H33,H34,H35)</x:f>
        <x:v>0.44</x:v>
      </x:c>
      <x:c r="I32" s="49" t="n">
        <x:f aca="0">CHOOSE($C$4,I33,I34,I35)</x:f>
        <x:v>0.45</x:v>
      </x:c>
      <x:c r="J32" s="49" t="n">
        <x:f aca="0">CHOOSE($C$4,J33,J34,J35)</x:f>
        <x:v>0.45</x:v>
      </x:c>
      <x:c r="K32" s="49" t="n">
        <x:f aca="0">CHOOSE($C$4,K33,K34,K35)</x:f>
        <x:v>0.45</x:v>
      </x:c>
      <x:c r="L32" s="49" t="n">
        <x:f aca="0">CHOOSE($C$4,L33,L34,L35)</x:f>
        <x:v>0.44</x:v>
      </x:c>
      <x:c r="M32" s="49" t="n">
        <x:f aca="0">CHOOSE($C$4,M33,M34,M35)</x:f>
        <x:v>0.44</x:v>
      </x:c>
      <x:c r="N32" s="1"/>
    </x:row>
    <x:row r="33" ht="15" hidden="0">
      <x:c r="A33" s="1"/>
      <x:c r="B33" s="1"/>
      <x:c r="C33" s="1" t="s">
        <x:v>73</x:v>
      </x:c>
      <x:c r="D33" s="50" t="n">
        <x:v>0.25</x:v>
      </x:c>
      <x:c r="E33" s="50" t="n">
        <x:v>0.31</x:v>
      </x:c>
      <x:c r="F33" s="50" t="n">
        <x:v>0.38</x:v>
      </x:c>
      <x:c r="G33" s="50" t="n">
        <x:v>0.42</x:v>
      </x:c>
      <x:c r="H33" s="50" t="n">
        <x:v>0.44</x:v>
      </x:c>
      <x:c r="I33" s="50" t="n">
        <x:v>0.45</x:v>
      </x:c>
      <x:c r="J33" s="50" t="n">
        <x:v>0.45</x:v>
      </x:c>
      <x:c r="K33" s="50" t="n">
        <x:v>0.45</x:v>
      </x:c>
      <x:c r="L33" s="50" t="n">
        <x:v>0.44</x:v>
      </x:c>
      <x:c r="M33" s="50" t="n">
        <x:v>0.44</x:v>
      </x:c>
      <x:c r="N33" s="1"/>
    </x:row>
    <x:row r="34" ht="15" hidden="0">
      <x:c r="A34" s="1"/>
      <x:c r="B34" s="1"/>
      <x:c r="C34" s="1" t="s">
        <x:v>74</x:v>
      </x:c>
      <x:c r="D34" s="50" t="n">
        <x:v>0.29</x:v>
      </x:c>
      <x:c r="E34" s="50" t="n">
        <x:v>0.39</x:v>
      </x:c>
      <x:c r="F34" s="50" t="n">
        <x:v>0.49</x:v>
      </x:c>
      <x:c r="G34" s="50" t="n">
        <x:v>0.55</x:v>
      </x:c>
      <x:c r="H34" s="50" t="n">
        <x:v>0.58</x:v>
      </x:c>
      <x:c r="I34" s="50" t="n">
        <x:v>0.6</x:v>
      </x:c>
      <x:c r="J34" s="50" t="n">
        <x:v>0.6</x:v>
      </x:c>
      <x:c r="K34" s="50" t="n">
        <x:v>0.59</x:v>
      </x:c>
      <x:c r="L34" s="50" t="n">
        <x:v>0.58</x:v>
      </x:c>
      <x:c r="M34" s="50" t="n">
        <x:v>0.57</x:v>
      </x:c>
      <x:c r="N34" s="1"/>
    </x:row>
    <x:row r="35" ht="15" hidden="0">
      <x:c r="A35" s="1"/>
      <x:c r="B35" s="1"/>
      <x:c r="C35" s="1" t="s">
        <x:v>75</x:v>
      </x:c>
      <x:c r="D35" s="50" t="n">
        <x:v>0.19</x:v>
      </x:c>
      <x:c r="E35" s="50" t="n">
        <x:v>0.18</x:v>
      </x:c>
      <x:c r="F35" s="50" t="n">
        <x:v>0.2</x:v>
      </x:c>
      <x:c r="G35" s="50" t="n">
        <x:v>0.22</x:v>
      </x:c>
      <x:c r="H35" s="50" t="n">
        <x:v>0.24</x:v>
      </x:c>
      <x:c r="I35" s="50" t="n">
        <x:v>0.25</x:v>
      </x:c>
      <x:c r="J35" s="50" t="n">
        <x:v>0.25</x:v>
      </x:c>
      <x:c r="K35" s="50" t="n">
        <x:v>0.24</x:v>
      </x:c>
      <x:c r="L35" s="50" t="n">
        <x:v>0.23</x:v>
      </x:c>
      <x:c r="M35" s="50" t="n">
        <x:v>0.22</x:v>
      </x:c>
      <x:c r="N35" s="1"/>
    </x:row>
    <x:row r="36" ht="15" hidden="0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 ht="15" hidden="0">
      <x:c r="A37" s="1"/>
      <x:c r="B37" s="1"/>
      <x:c r="C37" s="44" t="s">
        <x:v>77</x:v>
      </x:c>
      <x:c r="D37" s="47" t="n">
        <x:f aca="0">CHOOSE($C$4,D38,D39,D40)</x:f>
        <x:v>24</x:v>
      </x:c>
      <x:c r="E37" s="47" t="n">
        <x:f aca="0">CHOOSE($C$4,E38,E39,E40)</x:f>
        <x:v>26.5</x:v>
      </x:c>
      <x:c r="F37" s="47" t="n">
        <x:f aca="0">CHOOSE($C$4,F38,F39,F40)</x:f>
        <x:v>28.5</x:v>
      </x:c>
      <x:c r="G37" s="47" t="n">
        <x:f aca="0">CHOOSE($C$4,G38,G39,G40)</x:f>
        <x:v>29.5</x:v>
      </x:c>
      <x:c r="H37" s="47" t="n">
        <x:f aca="0">CHOOSE($C$4,H38,H39,H40)</x:f>
        <x:v>30.2</x:v>
      </x:c>
      <x:c r="I37" s="47" t="n">
        <x:f aca="0">CHOOSE($C$4,I38,I39,I40)</x:f>
        <x:v>30.5</x:v>
      </x:c>
      <x:c r="J37" s="47" t="n">
        <x:f aca="0">CHOOSE($C$4,J38,J39,J40)</x:f>
        <x:v>30.2</x:v>
      </x:c>
      <x:c r="K37" s="47" t="n">
        <x:f aca="0">CHOOSE($C$4,K38,K39,K40)</x:f>
        <x:v>29.9</x:v>
      </x:c>
      <x:c r="L37" s="47" t="n">
        <x:f aca="0">CHOOSE($C$4,L38,L39,L40)</x:f>
        <x:v>29.6</x:v>
      </x:c>
      <x:c r="M37" s="47" t="n">
        <x:f aca="0">CHOOSE($C$4,M38,M39,M40)</x:f>
        <x:v>29.3</x:v>
      </x:c>
      <x:c r="N37" s="1"/>
    </x:row>
    <x:row r="38" ht="15" hidden="0">
      <x:c r="A38" s="1"/>
      <x:c r="B38" s="1"/>
      <x:c r="C38" s="1" t="s">
        <x:v>73</x:v>
      </x:c>
      <x:c r="D38" s="48" t="n">
        <x:v>24</x:v>
      </x:c>
      <x:c r="E38" s="48" t="n">
        <x:v>26.5</x:v>
      </x:c>
      <x:c r="F38" s="48" t="n">
        <x:v>28.5</x:v>
      </x:c>
      <x:c r="G38" s="48" t="n">
        <x:v>29.5</x:v>
      </x:c>
      <x:c r="H38" s="48" t="n">
        <x:v>30.2</x:v>
      </x:c>
      <x:c r="I38" s="48" t="n">
        <x:v>30.5</x:v>
      </x:c>
      <x:c r="J38" s="48" t="n">
        <x:v>30.2</x:v>
      </x:c>
      <x:c r="K38" s="48" t="n">
        <x:v>29.9</x:v>
      </x:c>
      <x:c r="L38" s="48" t="n">
        <x:v>29.6</x:v>
      </x:c>
      <x:c r="M38" s="48" t="n">
        <x:v>29.3</x:v>
      </x:c>
      <x:c r="N38" s="1"/>
    </x:row>
    <x:row r="39" ht="15" hidden="0">
      <x:c r="A39" s="1"/>
      <x:c r="B39" s="1"/>
      <x:c r="C39" s="1" t="s">
        <x:v>74</x:v>
      </x:c>
      <x:c r="D39" s="48" t="n">
        <x:v>26</x:v>
      </x:c>
      <x:c r="E39" s="48" t="n">
        <x:v>30</x:v>
      </x:c>
      <x:c r="F39" s="48" t="n">
        <x:v>33</x:v>
      </x:c>
      <x:c r="G39" s="48" t="n">
        <x:v>35</x:v>
      </x:c>
      <x:c r="H39" s="48" t="n">
        <x:v>36</x:v>
      </x:c>
      <x:c r="I39" s="48" t="n">
        <x:v>36</x:v>
      </x:c>
      <x:c r="J39" s="48" t="n">
        <x:v>35.5</x:v>
      </x:c>
      <x:c r="K39" s="48" t="n">
        <x:v>35</x:v>
      </x:c>
      <x:c r="L39" s="48" t="n">
        <x:v>34.5</x:v>
      </x:c>
      <x:c r="M39" s="48" t="n">
        <x:v>34</x:v>
      </x:c>
      <x:c r="N39" s="1"/>
    </x:row>
    <x:row r="40" ht="15" hidden="0">
      <x:c r="A40" s="1"/>
      <x:c r="B40" s="1"/>
      <x:c r="C40" s="1" t="s">
        <x:v>75</x:v>
      </x:c>
      <x:c r="D40" s="48" t="n">
        <x:v>21</x:v>
      </x:c>
      <x:c r="E40" s="48" t="n">
        <x:v>20</x:v>
      </x:c>
      <x:c r="F40" s="48" t="n">
        <x:v>21</x:v>
      </x:c>
      <x:c r="G40" s="48" t="n">
        <x:v>22</x:v>
      </x:c>
      <x:c r="H40" s="48" t="n">
        <x:v>23</x:v>
      </x:c>
      <x:c r="I40" s="48" t="n">
        <x:v>23</x:v>
      </x:c>
      <x:c r="J40" s="48" t="n">
        <x:v>22.5</x:v>
      </x:c>
      <x:c r="K40" s="48" t="n">
        <x:v>22</x:v>
      </x:c>
      <x:c r="L40" s="48" t="n">
        <x:v>21.5</x:v>
      </x:c>
      <x:c r="M40" s="48" t="n">
        <x:v>21</x:v>
      </x:c>
      <x:c r="N40" s="1"/>
    </x:row>
    <x:row r="41" ht="15" hidden="0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 ht="15" hidden="0">
      <x:c r="A42" s="1"/>
      <x:c r="B42" s="1"/>
      <x:c r="C42" s="44" t="s">
        <x:v>78</x:v>
      </x:c>
      <x:c r="D42" s="47" t="n">
        <x:f aca="0">CHOOSE($C$4,D43,D44,D45)</x:f>
        <x:v>36</x:v>
      </x:c>
      <x:c r="E42" s="47" t="n">
        <x:f aca="0">CHOOSE($C$4,E43,E44,E45)</x:f>
        <x:v>31</x:v>
      </x:c>
      <x:c r="F42" s="47" t="n">
        <x:f aca="0">CHOOSE($C$4,F43,F44,F45)</x:f>
        <x:v>29</x:v>
      </x:c>
      <x:c r="G42" s="47" t="n">
        <x:f aca="0">CHOOSE($C$4,G43,G44,G45)</x:f>
        <x:v>29.5</x:v>
      </x:c>
      <x:c r="H42" s="47" t="n">
        <x:f aca="0">CHOOSE($C$4,H43,H44,H45)</x:f>
        <x:v>30</x:v>
      </x:c>
      <x:c r="I42" s="47" t="n">
        <x:f aca="0">CHOOSE($C$4,I43,I44,I45)</x:f>
        <x:v>30.2</x:v>
      </x:c>
      <x:c r="J42" s="47" t="n">
        <x:f aca="0">CHOOSE($C$4,J43,J44,J45)</x:f>
        <x:v>30</x:v>
      </x:c>
      <x:c r="K42" s="47" t="n">
        <x:f aca="0">CHOOSE($C$4,K43,K44,K45)</x:f>
        <x:v>29.5</x:v>
      </x:c>
      <x:c r="L42" s="47" t="n">
        <x:f aca="0">CHOOSE($C$4,L43,L44,L45)</x:f>
        <x:v>29</x:v>
      </x:c>
      <x:c r="M42" s="47" t="n">
        <x:f aca="0">CHOOSE($C$4,M43,M44,M45)</x:f>
        <x:v>28.5</x:v>
      </x:c>
      <x:c r="N42" s="1"/>
    </x:row>
    <x:row r="43" ht="15" hidden="0">
      <x:c r="A43" s="1"/>
      <x:c r="B43" s="1"/>
      <x:c r="C43" s="1" t="s">
        <x:v>73</x:v>
      </x:c>
      <x:c r="D43" s="48" t="n">
        <x:v>36</x:v>
      </x:c>
      <x:c r="E43" s="48" t="n">
        <x:v>31</x:v>
      </x:c>
      <x:c r="F43" s="48" t="n">
        <x:v>29</x:v>
      </x:c>
      <x:c r="G43" s="48" t="n">
        <x:v>29.5</x:v>
      </x:c>
      <x:c r="H43" s="48" t="n">
        <x:v>30</x:v>
      </x:c>
      <x:c r="I43" s="48" t="n">
        <x:v>30.2</x:v>
      </x:c>
      <x:c r="J43" s="48" t="n">
        <x:v>30</x:v>
      </x:c>
      <x:c r="K43" s="48" t="n">
        <x:v>29.5</x:v>
      </x:c>
      <x:c r="L43" s="48" t="n">
        <x:v>29</x:v>
      </x:c>
      <x:c r="M43" s="48" t="n">
        <x:v>28.5</x:v>
      </x:c>
      <x:c r="N43" s="1"/>
    </x:row>
    <x:row r="44" ht="15" hidden="0">
      <x:c r="A44" s="1"/>
      <x:c r="B44" s="1"/>
      <x:c r="C44" s="1" t="s">
        <x:v>74</x:v>
      </x:c>
      <x:c r="D44" s="48" t="n">
        <x:v>34</x:v>
      </x:c>
      <x:c r="E44" s="48" t="n">
        <x:v>32</x:v>
      </x:c>
      <x:c r="F44" s="48" t="n">
        <x:v>32</x:v>
      </x:c>
      <x:c r="G44" s="48" t="n">
        <x:v>33</x:v>
      </x:c>
      <x:c r="H44" s="48" t="n">
        <x:v>34</x:v>
      </x:c>
      <x:c r="I44" s="48" t="n">
        <x:v>34</x:v>
      </x:c>
      <x:c r="J44" s="48" t="n">
        <x:v>34</x:v>
      </x:c>
      <x:c r="K44" s="48" t="n">
        <x:v>33.5</x:v>
      </x:c>
      <x:c r="L44" s="48" t="n">
        <x:v>33</x:v>
      </x:c>
      <x:c r="M44" s="48" t="n">
        <x:v>32.5</x:v>
      </x:c>
      <x:c r="N44" s="1"/>
    </x:row>
    <x:row r="45" ht="15" hidden="0">
      <x:c r="A45" s="1"/>
      <x:c r="B45" s="1"/>
      <x:c r="C45" s="1" t="s">
        <x:v>75</x:v>
      </x:c>
      <x:c r="D45" s="48" t="n">
        <x:v>38</x:v>
      </x:c>
      <x:c r="E45" s="48" t="n">
        <x:v>35</x:v>
      </x:c>
      <x:c r="F45" s="48" t="n">
        <x:v>31</x:v>
      </x:c>
      <x:c r="G45" s="48" t="n">
        <x:v>28</x:v>
      </x:c>
      <x:c r="H45" s="48" t="n">
        <x:v>25</x:v>
      </x:c>
      <x:c r="I45" s="48" t="n">
        <x:v>24</x:v>
      </x:c>
      <x:c r="J45" s="48" t="n">
        <x:v>23</x:v>
      </x:c>
      <x:c r="K45" s="48" t="n">
        <x:v>22</x:v>
      </x:c>
      <x:c r="L45" s="48" t="n">
        <x:v>21</x:v>
      </x:c>
      <x:c r="M45" s="48" t="n">
        <x:v>20.5</x:v>
      </x:c>
      <x:c r="N45" s="1"/>
    </x:row>
    <x:row r="46" ht="15" hidden="0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 ht="15" hidden="0">
      <x:c r="A47" s="1"/>
      <x:c r="B47" s="1"/>
      <x:c r="C47" s="44" t="s">
        <x:v>79</x:v>
      </x:c>
      <x:c r="D47" s="47" t="n">
        <x:f aca="0">CHOOSE($C$4,D48,D49,D50)</x:f>
        <x:v>10</x:v>
      </x:c>
      <x:c r="E47" s="47" t="n">
        <x:f aca="0">CHOOSE($C$4,E48,E49,E50)</x:f>
        <x:v>11</x:v>
      </x:c>
      <x:c r="F47" s="47" t="n">
        <x:f aca="0">CHOOSE($C$4,F48,F49,F50)</x:f>
        <x:v>10</x:v>
      </x:c>
      <x:c r="G47" s="47" t="n">
        <x:f aca="0">CHOOSE($C$4,G48,G49,G50)</x:f>
        <x:v>9</x:v>
      </x:c>
      <x:c r="H47" s="47" t="n">
        <x:f aca="0">CHOOSE($C$4,H48,H49,H50)</x:f>
        <x:v>8</x:v>
      </x:c>
      <x:c r="I47" s="47" t="n">
        <x:f aca="0">CHOOSE($C$4,I48,I49,I50)</x:f>
        <x:v>7</x:v>
      </x:c>
      <x:c r="J47" s="47" t="n">
        <x:f aca="0">CHOOSE($C$4,J48,J49,J50)</x:f>
        <x:v>6</x:v>
      </x:c>
      <x:c r="K47" s="47" t="n">
        <x:f aca="0">CHOOSE($C$4,K48,K49,K50)</x:f>
        <x:v>5</x:v>
      </x:c>
      <x:c r="L47" s="47" t="n">
        <x:f aca="0">CHOOSE($C$4,L48,L49,L50)</x:f>
        <x:v>4</x:v>
      </x:c>
      <x:c r="M47" s="47" t="n">
        <x:f aca="0">CHOOSE($C$4,M48,M49,M50)</x:f>
        <x:v>3</x:v>
      </x:c>
      <x:c r="N47" s="1"/>
    </x:row>
    <x:row r="48" ht="15" hidden="0">
      <x:c r="A48" s="1"/>
      <x:c r="B48" s="1"/>
      <x:c r="C48" s="1" t="s">
        <x:v>73</x:v>
      </x:c>
      <x:c r="D48" s="48" t="n">
        <x:v>10</x:v>
      </x:c>
      <x:c r="E48" s="48" t="n">
        <x:v>11</x:v>
      </x:c>
      <x:c r="F48" s="48" t="n">
        <x:v>10</x:v>
      </x:c>
      <x:c r="G48" s="48" t="n">
        <x:v>9</x:v>
      </x:c>
      <x:c r="H48" s="48" t="n">
        <x:v>8</x:v>
      </x:c>
      <x:c r="I48" s="48" t="n">
        <x:v>7</x:v>
      </x:c>
      <x:c r="J48" s="48" t="n">
        <x:v>6</x:v>
      </x:c>
      <x:c r="K48" s="48" t="n">
        <x:v>5</x:v>
      </x:c>
      <x:c r="L48" s="48" t="n">
        <x:v>4</x:v>
      </x:c>
      <x:c r="M48" s="48" t="n">
        <x:v>3</x:v>
      </x:c>
      <x:c r="N48" s="1"/>
    </x:row>
    <x:row r="49" ht="15" hidden="0">
      <x:c r="A49" s="1"/>
      <x:c r="B49" s="1"/>
      <x:c r="C49" s="1" t="s">
        <x:v>74</x:v>
      </x:c>
      <x:c r="D49" s="48" t="n">
        <x:v>11</x:v>
      </x:c>
      <x:c r="E49" s="48" t="n">
        <x:v>14</x:v>
      </x:c>
      <x:c r="F49" s="48" t="n">
        <x:v>13</x:v>
      </x:c>
      <x:c r="G49" s="48" t="n">
        <x:v>11</x:v>
      </x:c>
      <x:c r="H49" s="48" t="n">
        <x:v>9</x:v>
      </x:c>
      <x:c r="I49" s="48" t="n">
        <x:v>7</x:v>
      </x:c>
      <x:c r="J49" s="48" t="n">
        <x:v>5</x:v>
      </x:c>
      <x:c r="K49" s="48" t="n">
        <x:v>4</x:v>
      </x:c>
      <x:c r="L49" s="48" t="n">
        <x:v>3</x:v>
      </x:c>
      <x:c r="M49" s="48" t="n">
        <x:v>2</x:v>
      </x:c>
      <x:c r="N49" s="1"/>
    </x:row>
    <x:row r="50" ht="15" hidden="0">
      <x:c r="A50" s="1"/>
      <x:c r="B50" s="1"/>
      <x:c r="C50" s="1" t="s">
        <x:v>75</x:v>
      </x:c>
      <x:c r="D50" s="48" t="n">
        <x:v>8</x:v>
      </x:c>
      <x:c r="E50" s="48" t="n">
        <x:v>7</x:v>
      </x:c>
      <x:c r="F50" s="48" t="n">
        <x:v>6</x:v>
      </x:c>
      <x:c r="G50" s="48" t="n">
        <x:v>5</x:v>
      </x:c>
      <x:c r="H50" s="48" t="n">
        <x:v>4</x:v>
      </x:c>
      <x:c r="I50" s="48" t="n">
        <x:v>3</x:v>
      </x:c>
      <x:c r="J50" s="48" t="n">
        <x:v>2</x:v>
      </x:c>
      <x:c r="K50" s="48" t="n">
        <x:v>2</x:v>
      </x:c>
      <x:c r="L50" s="48" t="n">
        <x:v>1</x:v>
      </x:c>
      <x:c r="M50" s="48" t="n">
        <x:v>1</x:v>
      </x:c>
      <x:c r="N50" s="1"/>
    </x:row>
    <x:row r="51" ht="15" hidden="0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 ht="15" hidden="0">
      <x:c r="A52" s="1"/>
      <x:c r="B52" s="1"/>
      <x:c r="C52" s="44" t="s">
        <x:v>80</x:v>
      </x:c>
      <x:c r="D52" s="49" t="n">
        <x:f aca="0">CHOOSE($C$4,D53,D54,D55)</x:f>
        <x:v>0.18</x:v>
      </x:c>
      <x:c r="E52" s="49" t="n">
        <x:f aca="0">CHOOSE($C$4,E53,E54,E55)</x:f>
        <x:v>0.15</x:v>
      </x:c>
      <x:c r="F52" s="49" t="n">
        <x:f aca="0">CHOOSE($C$4,F53,F54,F55)</x:f>
        <x:v>0.12</x:v>
      </x:c>
      <x:c r="G52" s="49" t="n">
        <x:f aca="0">CHOOSE($C$4,G53,G54,G55)</x:f>
        <x:v>0.11</x:v>
      </x:c>
      <x:c r="H52" s="49" t="n">
        <x:f aca="0">CHOOSE($C$4,H53,H54,H55)</x:f>
        <x:v>0.105</x:v>
      </x:c>
      <x:c r="I52" s="49" t="n">
        <x:f aca="0">CHOOSE($C$4,I53,I54,I55)</x:f>
        <x:v>0.1</x:v>
      </x:c>
      <x:c r="J52" s="49" t="n">
        <x:f aca="0">CHOOSE($C$4,J53,J54,J55)</x:f>
        <x:v>0.1</x:v>
      </x:c>
      <x:c r="K52" s="49" t="n">
        <x:f aca="0">CHOOSE($C$4,K53,K54,K55)</x:f>
        <x:v>0.1</x:v>
      </x:c>
      <x:c r="L52" s="49" t="n">
        <x:f aca="0">CHOOSE($C$4,L53,L54,L55)</x:f>
        <x:v>0.105</x:v>
      </x:c>
      <x:c r="M52" s="49" t="n">
        <x:f aca="0">CHOOSE($C$4,M53,M54,M55)</x:f>
        <x:v>0.105</x:v>
      </x:c>
      <x:c r="N52" s="1"/>
    </x:row>
    <x:row r="53" ht="15" hidden="0">
      <x:c r="A53" s="1"/>
      <x:c r="B53" s="1"/>
      <x:c r="C53" s="1" t="s">
        <x:v>73</x:v>
      </x:c>
      <x:c r="D53" s="50" t="n">
        <x:v>0.18</x:v>
      </x:c>
      <x:c r="E53" s="50" t="n">
        <x:v>0.15</x:v>
      </x:c>
      <x:c r="F53" s="50" t="n">
        <x:v>0.12</x:v>
      </x:c>
      <x:c r="G53" s="50" t="n">
        <x:v>0.11</x:v>
      </x:c>
      <x:c r="H53" s="50" t="n">
        <x:v>0.105</x:v>
      </x:c>
      <x:c r="I53" s="50" t="n">
        <x:v>0.1</x:v>
      </x:c>
      <x:c r="J53" s="50" t="n">
        <x:v>0.1</x:v>
      </x:c>
      <x:c r="K53" s="50" t="n">
        <x:v>0.1</x:v>
      </x:c>
      <x:c r="L53" s="50" t="n">
        <x:v>0.105</x:v>
      </x:c>
      <x:c r="M53" s="50" t="n">
        <x:v>0.105</x:v>
      </x:c>
      <x:c r="N53" s="1"/>
    </x:row>
    <x:row r="54" ht="15" hidden="0">
      <x:c r="A54" s="1"/>
      <x:c r="B54" s="1"/>
      <x:c r="C54" s="1" t="s">
        <x:v>74</x:v>
      </x:c>
      <x:c r="D54" s="50" t="n">
        <x:v>0.16</x:v>
      </x:c>
      <x:c r="E54" s="50" t="n">
        <x:v>0.12</x:v>
      </x:c>
      <x:c r="F54" s="50" t="n">
        <x:v>0.095</x:v>
      </x:c>
      <x:c r="G54" s="50" t="n">
        <x:v>0.085</x:v>
      </x:c>
      <x:c r="H54" s="50" t="n">
        <x:v>0.08</x:v>
      </x:c>
      <x:c r="I54" s="50" t="n">
        <x:v>0.08</x:v>
      </x:c>
      <x:c r="J54" s="50" t="n">
        <x:v>0.08</x:v>
      </x:c>
      <x:c r="K54" s="50" t="n">
        <x:v>0.085</x:v>
      </x:c>
      <x:c r="L54" s="50" t="n">
        <x:v>0.085</x:v>
      </x:c>
      <x:c r="M54" s="50" t="n">
        <x:v>0.09</x:v>
      </x:c>
      <x:c r="N54" s="1"/>
    </x:row>
    <x:row r="55" ht="15" hidden="0">
      <x:c r="A55" s="1"/>
      <x:c r="B55" s="1"/>
      <x:c r="C55" s="1" t="s">
        <x:v>75</x:v>
      </x:c>
      <x:c r="D55" s="50" t="n">
        <x:v>0.2</x:v>
      </x:c>
      <x:c r="E55" s="50" t="n">
        <x:v>0.19</x:v>
      </x:c>
      <x:c r="F55" s="50" t="n">
        <x:v>0.17</x:v>
      </x:c>
      <x:c r="G55" s="50" t="n">
        <x:v>0.16</x:v>
      </x:c>
      <x:c r="H55" s="50" t="n">
        <x:v>0.15</x:v>
      </x:c>
      <x:c r="I55" s="50" t="n">
        <x:v>0.15</x:v>
      </x:c>
      <x:c r="J55" s="50" t="n">
        <x:v>0.155</x:v>
      </x:c>
      <x:c r="K55" s="50" t="n">
        <x:v>0.16</x:v>
      </x:c>
      <x:c r="L55" s="50" t="n">
        <x:v>0.16</x:v>
      </x:c>
      <x:c r="M55" s="50" t="n">
        <x:v>0.16</x:v>
      </x:c>
      <x:c r="N55" s="1"/>
    </x:row>
    <x:row r="56" ht="15" hidden="0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 ht="15" hidden="0">
      <x:c r="A57" s="1"/>
      <x:c r="B57" s="1"/>
      <x:c r="C57" s="44" t="s">
        <x:v>81</x:v>
      </x:c>
      <x:c r="D57" s="49" t="n">
        <x:f aca="0">CHOOSE($C$4,D58,D59,D60)</x:f>
        <x:v>0.021</x:v>
      </x:c>
      <x:c r="E57" s="49" t="n">
        <x:f aca="0">CHOOSE($C$4,E58,E59,E60)</x:f>
        <x:v>0.02</x:v>
      </x:c>
      <x:c r="F57" s="49" t="n">
        <x:f aca="0">CHOOSE($C$4,F58,F59,F60)</x:f>
        <x:v>0.022</x:v>
      </x:c>
      <x:c r="G57" s="49" t="n">
        <x:f aca="0">CHOOSE($C$4,G58,G59,G60)</x:f>
        <x:v>0.02</x:v>
      </x:c>
      <x:c r="H57" s="49" t="n">
        <x:f aca="0">CHOOSE($C$4,H58,H59,H60)</x:f>
        <x:v>0.018</x:v>
      </x:c>
      <x:c r="I57" s="49" t="n">
        <x:f aca="0">CHOOSE($C$4,I58,I59,I60)</x:f>
        <x:v>0.017</x:v>
      </x:c>
      <x:c r="J57" s="49" t="n">
        <x:f aca="0">CHOOSE($C$4,J58,J59,J60)</x:f>
        <x:v>0.016</x:v>
      </x:c>
      <x:c r="K57" s="49" t="n">
        <x:f aca="0">CHOOSE($C$4,K58,K59,K60)</x:f>
        <x:v>0.015</x:v>
      </x:c>
      <x:c r="L57" s="49" t="n">
        <x:f aca="0">CHOOSE($C$4,L58,L59,L60)</x:f>
        <x:v>0.015</x:v>
      </x:c>
      <x:c r="M57" s="49" t="n">
        <x:f aca="0">CHOOSE($C$4,M58,M59,M60)</x:f>
        <x:v>0.014</x:v>
      </x:c>
      <x:c r="N57" s="1"/>
    </x:row>
    <x:row r="58" ht="15" hidden="0">
      <x:c r="A58" s="1"/>
      <x:c r="B58" s="1"/>
      <x:c r="C58" s="1" t="s">
        <x:v>73</x:v>
      </x:c>
      <x:c r="D58" s="50" t="n">
        <x:v>0.021</x:v>
      </x:c>
      <x:c r="E58" s="50" t="n">
        <x:v>0.02</x:v>
      </x:c>
      <x:c r="F58" s="50" t="n">
        <x:v>0.022</x:v>
      </x:c>
      <x:c r="G58" s="50" t="n">
        <x:v>0.02</x:v>
      </x:c>
      <x:c r="H58" s="50" t="n">
        <x:v>0.018</x:v>
      </x:c>
      <x:c r="I58" s="50" t="n">
        <x:v>0.017</x:v>
      </x:c>
      <x:c r="J58" s="50" t="n">
        <x:v>0.016</x:v>
      </x:c>
      <x:c r="K58" s="50" t="n">
        <x:v>0.015</x:v>
      </x:c>
      <x:c r="L58" s="50" t="n">
        <x:v>0.015</x:v>
      </x:c>
      <x:c r="M58" s="50" t="n">
        <x:v>0.014</x:v>
      </x:c>
      <x:c r="N58" s="1"/>
    </x:row>
    <x:row r="59" ht="15" hidden="0">
      <x:c r="A59" s="1"/>
      <x:c r="B59" s="1"/>
      <x:c r="C59" s="1" t="s">
        <x:v>74</x:v>
      </x:c>
      <x:c r="D59" s="50" t="n">
        <x:v>0.03</x:v>
      </x:c>
      <x:c r="E59" s="50" t="n">
        <x:v>0.03</x:v>
      </x:c>
      <x:c r="F59" s="50" t="n">
        <x:v>0.032</x:v>
      </x:c>
      <x:c r="G59" s="50" t="n">
        <x:v>0.03</x:v>
      </x:c>
      <x:c r="H59" s="50" t="n">
        <x:v>0.028</x:v>
      </x:c>
      <x:c r="I59" s="50" t="n">
        <x:v>0.025</x:v>
      </x:c>
      <x:c r="J59" s="50" t="n">
        <x:v>0.025</x:v>
      </x:c>
      <x:c r="K59" s="50" t="n">
        <x:v>0.023</x:v>
      </x:c>
      <x:c r="L59" s="50" t="n">
        <x:v>0.022</x:v>
      </x:c>
      <x:c r="M59" s="50" t="n">
        <x:v>0.02</x:v>
      </x:c>
      <x:c r="N59" s="1"/>
    </x:row>
    <x:row r="60" ht="15" hidden="0">
      <x:c r="A60" s="1"/>
      <x:c r="B60" s="1"/>
      <x:c r="C60" s="1" t="s">
        <x:v>75</x:v>
      </x:c>
      <x:c r="D60" s="50" t="n">
        <x:v>0</x:v>
      </x:c>
      <x:c r="E60" s="50" t="n">
        <x:v>-0.005</x:v>
      </x:c>
      <x:c r="F60" s="50" t="n">
        <x:v>0</x:v>
      </x:c>
      <x:c r="G60" s="50" t="n">
        <x:v>0.005</x:v>
      </x:c>
      <x:c r="H60" s="50" t="n">
        <x:v>0.005</x:v>
      </x:c>
      <x:c r="I60" s="50" t="n">
        <x:v>0.005</x:v>
      </x:c>
      <x:c r="J60" s="50" t="n">
        <x:v>0.003</x:v>
      </x:c>
      <x:c r="K60" s="50" t="n">
        <x:v>0.002</x:v>
      </x:c>
      <x:c r="L60" s="50" t="n">
        <x:v>0</x:v>
      </x:c>
      <x:c r="M60" s="50" t="n">
        <x:v>0</x:v>
      </x:c>
      <x:c r="N60" s="1"/>
    </x:row>
    <x:row r="61" ht="15" hidden="0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</x:row>
    <x:row r="62" ht="15" hidden="0">
      <x:c r="A62" s="1"/>
      <x:c r="B62" s="1"/>
      <x:c r="C62" s="44" t="s">
        <x:v>82</x:v>
      </x:c>
      <x:c r="D62" s="49" t="n">
        <x:f aca="0">CHOOSE($C$4,D63,D64,D65)</x:f>
        <x:v>0.06</x:v>
      </x:c>
      <x:c r="E62" s="49" t="n">
        <x:f aca="0">CHOOSE($C$4,E63,E64,E65)</x:f>
        <x:v>0.05</x:v>
      </x:c>
      <x:c r="F62" s="49" t="n">
        <x:f aca="0">CHOOSE($C$4,F63,F64,F65)</x:f>
        <x:v>0.045</x:v>
      </x:c>
      <x:c r="G62" s="49" t="n">
        <x:f aca="0">CHOOSE($C$4,G63,G64,G65)</x:f>
        <x:v>0.04</x:v>
      </x:c>
      <x:c r="H62" s="49" t="n">
        <x:f aca="0">CHOOSE($C$4,H63,H64,H65)</x:f>
        <x:v>0.04</x:v>
      </x:c>
      <x:c r="I62" s="49" t="n">
        <x:f aca="0">CHOOSE($C$4,I63,I64,I65)</x:f>
        <x:v>0.04</x:v>
      </x:c>
      <x:c r="J62" s="49" t="n">
        <x:f aca="0">CHOOSE($C$4,J63,J64,J65)</x:f>
        <x:v>0.04</x:v>
      </x:c>
      <x:c r="K62" s="49" t="n">
        <x:f aca="0">CHOOSE($C$4,K63,K64,K65)</x:f>
        <x:v>0.04</x:v>
      </x:c>
      <x:c r="L62" s="49" t="n">
        <x:f aca="0">CHOOSE($C$4,L63,L64,L65)</x:f>
        <x:v>0.04</x:v>
      </x:c>
      <x:c r="M62" s="49" t="n">
        <x:f aca="0">CHOOSE($C$4,M63,M64,M65)</x:f>
        <x:v>0.04</x:v>
      </x:c>
      <x:c r="N62" s="1"/>
    </x:row>
    <x:row r="63" ht="15" hidden="0">
      <x:c r="A63" s="1"/>
      <x:c r="B63" s="1"/>
      <x:c r="C63" s="1" t="s">
        <x:v>73</x:v>
      </x:c>
      <x:c r="D63" s="50" t="n">
        <x:v>0.06</x:v>
      </x:c>
      <x:c r="E63" s="50" t="n">
        <x:v>0.05</x:v>
      </x:c>
      <x:c r="F63" s="50" t="n">
        <x:v>0.045</x:v>
      </x:c>
      <x:c r="G63" s="50" t="n">
        <x:v>0.04</x:v>
      </x:c>
      <x:c r="H63" s="50" t="n">
        <x:v>0.04</x:v>
      </x:c>
      <x:c r="I63" s="50" t="n">
        <x:v>0.04</x:v>
      </x:c>
      <x:c r="J63" s="50" t="n">
        <x:v>0.04</x:v>
      </x:c>
      <x:c r="K63" s="50" t="n">
        <x:v>0.04</x:v>
      </x:c>
      <x:c r="L63" s="50" t="n">
        <x:v>0.04</x:v>
      </x:c>
      <x:c r="M63" s="50" t="n">
        <x:v>0.04</x:v>
      </x:c>
      <x:c r="N63" s="1"/>
    </x:row>
    <x:row r="64" ht="15" hidden="0">
      <x:c r="A64" s="1"/>
      <x:c r="B64" s="1"/>
      <x:c r="C64" s="1" t="s">
        <x:v>74</x:v>
      </x:c>
      <x:c r="D64" s="50" t="n">
        <x:v>0.05</x:v>
      </x:c>
      <x:c r="E64" s="50" t="n">
        <x:v>0.04</x:v>
      </x:c>
      <x:c r="F64" s="50" t="n">
        <x:v>0.04</x:v>
      </x:c>
      <x:c r="G64" s="50" t="n">
        <x:v>0.045</x:v>
      </x:c>
      <x:c r="H64" s="50" t="n">
        <x:v>0.045</x:v>
      </x:c>
      <x:c r="I64" s="50" t="n">
        <x:v>0.045</x:v>
      </x:c>
      <x:c r="J64" s="50" t="n">
        <x:v>0.04</x:v>
      </x:c>
      <x:c r="K64" s="50" t="n">
        <x:v>0.04</x:v>
      </x:c>
      <x:c r="L64" s="50" t="n">
        <x:v>0.04</x:v>
      </x:c>
      <x:c r="M64" s="50" t="n">
        <x:v>0.04</x:v>
      </x:c>
      <x:c r="N64" s="1"/>
    </x:row>
    <x:row r="65" ht="15" hidden="0">
      <x:c r="A65" s="1"/>
      <x:c r="B65" s="1"/>
      <x:c r="C65" s="1" t="s">
        <x:v>75</x:v>
      </x:c>
      <x:c r="D65" s="50" t="n">
        <x:v>0.07</x:v>
      </x:c>
      <x:c r="E65" s="50" t="n">
        <x:v>0.06</x:v>
      </x:c>
      <x:c r="F65" s="50" t="n">
        <x:v>0.05</x:v>
      </x:c>
      <x:c r="G65" s="50" t="n">
        <x:v>0.04</x:v>
      </x:c>
      <x:c r="H65" s="50" t="n">
        <x:v>0.04</x:v>
      </x:c>
      <x:c r="I65" s="50" t="n">
        <x:v>0.04</x:v>
      </x:c>
      <x:c r="J65" s="50" t="n">
        <x:v>0.04</x:v>
      </x:c>
      <x:c r="K65" s="50" t="n">
        <x:v>0.04</x:v>
      </x:c>
      <x:c r="L65" s="50" t="n">
        <x:v>0.04</x:v>
      </x:c>
      <x:c r="M65" s="50" t="n">
        <x:v>0.04</x:v>
      </x:c>
      <x:c r="N65" s="1"/>
    </x:row>
    <x:row r="66" ht="15" hidden="0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</x:row>
    <x:row r="67" ht="15" hidden="0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</x:row>
    <x:row r="68" ht="15" hidden="0" customHeight="1">
      <x:c r="A68" s="1"/>
      <x:c r="B68" s="1"/>
      <x:c r="C68" s="51" t="s">
        <x:v>83</x:v>
      </x:c>
      <x:c r="D68" s="52"/>
      <x:c r="E68" s="52"/>
      <x:c r="F68" s="52"/>
      <x:c r="G68" s="52"/>
      <x:c r="H68" s="52"/>
      <x:c r="I68" s="1"/>
      <x:c r="J68" s="1"/>
      <x:c r="K68" s="1"/>
      <x:c r="L68" s="1"/>
      <x:c r="M68" s="1"/>
      <x:c r="N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</x:row>
    <x:row r="70" ht="15" hidden="0" customHeight="1">
      <x:c r="A70" s="1"/>
      <x:c r="B70" s="1"/>
      <x:c r="C70" s="53" t="s">
        <x:v>84</x:v>
      </x:c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</x:row>
    <x:row r="71" ht="15" hidden="0" customHeight="1">
      <x:c r="A71" s="1"/>
      <x:c r="B71" s="1"/>
      <x:c r="C71" s="51" t="s">
        <x:v>28</x:v>
      </x:c>
      <x:c r="D71" s="51" t="s">
        <x:v>85</x:v>
      </x:c>
      <x:c r="E71" s="51" t="s">
        <x:v>86</x:v>
      </x:c>
      <x:c r="F71" s="51" t="s">
        <x:v>87</x:v>
      </x:c>
      <x:c r="G71" s="51" t="s">
        <x:v>30</x:v>
      </x:c>
      <x:c r="H71" s="51" t="s">
        <x:v>31</x:v>
      </x:c>
      <x:c r="I71" s="1"/>
      <x:c r="J71" s="1"/>
      <x:c r="K71" s="1"/>
      <x:c r="L71" s="1"/>
      <x:c r="M71" s="1"/>
      <x:c r="N71" s="1"/>
    </x:row>
    <x:row r="72" ht="15" hidden="0" customHeight="1">
      <x:c r="A72" s="1"/>
      <x:c r="B72" s="1"/>
      <x:c r="C72" s="54" t="s">
        <x:v>88</x:v>
      </x:c>
      <x:c r="D72" s="55" t="n">
        <x:v>54</x:v>
      </x:c>
      <x:c r="E72" s="55" t="n">
        <x:v>55</x:v>
      </x:c>
      <x:c r="F72" s="55" t="n">
        <x:v>56</x:v>
      </x:c>
      <x:c r="G72" s="54" t="s">
        <x:v>89</x:v>
      </x:c>
      <x:c r="H72" s="54" t="s">
        <x:v>45</x:v>
      </x:c>
      <x:c r="I72" s="1"/>
      <x:c r="J72" s="1"/>
      <x:c r="K72" s="1"/>
      <x:c r="L72" s="1"/>
      <x:c r="M72" s="1"/>
      <x:c r="N72" s="1"/>
    </x:row>
    <x:row r="73" ht="15" hidden="0" customHeight="1">
      <x:c r="A73" s="1"/>
      <x:c r="B73" s="1"/>
      <x:c r="C73" s="54" t="s">
        <x:v>90</x:v>
      </x:c>
      <x:c r="D73" s="56" t="n">
        <x:v>3</x:v>
      </x:c>
      <x:c r="E73" s="1"/>
      <x:c r="F73" s="1"/>
      <x:c r="G73" s="54" t="s">
        <x:v>56</x:v>
      </x:c>
      <x:c r="H73" s="54" t="s">
        <x:v>36</x:v>
      </x:c>
      <x:c r="I73" s="1"/>
      <x:c r="J73" s="1"/>
      <x:c r="K73" s="1"/>
      <x:c r="L73" s="1"/>
      <x:c r="M73" s="1"/>
      <x:c r="N73" s="1"/>
    </x:row>
    <x:row r="74" ht="15" hidden="0" customHeight="1">
      <x:c r="A74" s="1"/>
      <x:c r="B74" s="1"/>
      <x:c r="C74" s="54" t="s">
        <x:v>91</x:v>
      </x:c>
      <x:c r="D74" s="57" t="n">
        <x:f aca="0">D72*1000*$D$73</x:f>
        <x:v>162000</x:v>
      </x:c>
      <x:c r="E74" s="57" t="n">
        <x:f aca="0">E72*1000*$D$73</x:f>
        <x:v>165000</x:v>
      </x:c>
      <x:c r="F74" s="57" t="n">
        <x:f aca="0">F72*1000*$D$73</x:f>
        <x:v>168000</x:v>
      </x:c>
      <x:c r="G74" s="54" t="s">
        <x:v>51</x:v>
      </x:c>
      <x:c r="H74" s="54" t="s">
        <x:v>45</x:v>
      </x:c>
      <x:c r="I74" s="1"/>
      <x:c r="J74" s="1"/>
      <x:c r="K74" s="1"/>
      <x:c r="L74" s="1"/>
      <x:c r="M74" s="1"/>
      <x:c r="N74" s="1"/>
    </x:row>
    <x:row r="75" ht="15" hidden="0" customHeight="1">
      <x:c r="A75" s="1"/>
      <x:c r="B75" s="1"/>
      <x:c r="C75" s="58" t="s">
        <x:v>92</x:v>
      </x:c>
      <x:c r="D75" s="59" t="s">
        <x:v>93</x:v>
      </x:c>
      <x:c r="E75" s="1"/>
      <x:c r="F75" s="1"/>
      <x:c r="G75" s="1"/>
      <x:c r="H75" s="1"/>
      <x:c r="I75" s="1"/>
      <x:c r="J75" s="1"/>
      <x:c r="K75" s="1"/>
      <x:c r="L75" s="1"/>
      <x:c r="M75" s="1"/>
      <x:c r="N75" s="1"/>
    </x:row>
    <x:row r="76" ht="60" hidden="0" customHeight="1">
      <x:c r="A76" s="1"/>
      <x:c r="B76" s="1"/>
      <x:c r="C76" s="60" t="s">
        <x:v>94</x:v>
      </x:c>
      <x:c r="D76" s="61" t="s">
        <x:v>95</x:v>
      </x:c>
      <x:c r="E76" s="61"/>
      <x:c r="F76" s="61"/>
      <x:c r="G76" s="61"/>
      <x:c r="H76" s="61"/>
      <x:c r="I76" s="1"/>
      <x:c r="J76" s="1"/>
      <x:c r="K76" s="1"/>
      <x:c r="L76" s="1"/>
      <x:c r="M76" s="1"/>
      <x:c r="N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</x:row>
    <x:row r="79" ht="15" hidden="0" customHeight="1">
      <x:c r="A79" s="1"/>
      <x:c r="B79" s="1"/>
      <x:c r="C79" s="53" t="s">
        <x:v>96</x:v>
      </x:c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</x:row>
    <x:row r="80" ht="15" hidden="0" customHeight="1">
      <x:c r="A80" s="1"/>
      <x:c r="B80" s="1"/>
      <x:c r="C80" s="51" t="s">
        <x:v>28</x:v>
      </x:c>
      <x:c r="D80" s="51" t="s">
        <x:v>85</x:v>
      </x:c>
      <x:c r="E80" s="51" t="s">
        <x:v>86</x:v>
      </x:c>
      <x:c r="F80" s="51" t="s">
        <x:v>87</x:v>
      </x:c>
      <x:c r="G80" s="51" t="s">
        <x:v>30</x:v>
      </x:c>
      <x:c r="H80" s="51" t="s">
        <x:v>31</x:v>
      </x:c>
      <x:c r="I80" s="1"/>
      <x:c r="J80" s="1"/>
      <x:c r="K80" s="1"/>
      <x:c r="L80" s="1"/>
      <x:c r="M80" s="1"/>
      <x:c r="N80" s="1"/>
    </x:row>
    <x:row r="81" ht="15" hidden="0" customHeight="1">
      <x:c r="A81" s="1"/>
      <x:c r="B81" s="1"/>
      <x:c r="C81" s="54" t="s">
        <x:v>97</x:v>
      </x:c>
      <x:c r="D81" s="62" t="n">
        <x:v>-0.6</x:v>
      </x:c>
      <x:c r="E81" s="62" t="n">
        <x:v>-0.8</x:v>
      </x:c>
      <x:c r="F81" s="62" t="n">
        <x:v>-1</x:v>
      </x:c>
      <x:c r="G81" s="1"/>
      <x:c r="H81" s="54" t="s">
        <x:v>98</x:v>
      </x:c>
      <x:c r="I81" s="1"/>
      <x:c r="J81" s="1"/>
      <x:c r="K81" s="1"/>
      <x:c r="L81" s="1"/>
      <x:c r="M81" s="1"/>
      <x:c r="N81" s="1"/>
    </x:row>
    <x:row r="82" ht="15" hidden="0" customHeight="1">
      <x:c r="A82" s="1"/>
      <x:c r="B82" s="1"/>
      <x:c r="C82" s="54" t="s">
        <x:v>99</x:v>
      </x:c>
      <x:c r="D82" s="62" t="n">
        <x:v>0.5</x:v>
      </x:c>
      <x:c r="E82" s="62" t="n">
        <x:v>0.7</x:v>
      </x:c>
      <x:c r="F82" s="62" t="n">
        <x:v>0.9</x:v>
      </x:c>
      <x:c r="G82" s="1"/>
      <x:c r="H82" s="54" t="s">
        <x:v>100</x:v>
      </x:c>
      <x:c r="I82" s="1"/>
      <x:c r="J82" s="1"/>
      <x:c r="K82" s="1"/>
      <x:c r="L82" s="1"/>
      <x:c r="M82" s="1"/>
      <x:c r="N82" s="1"/>
    </x:row>
    <x:row r="83" ht="15" hidden="0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</x:row>
    <x:row r="84" ht="15" hidden="0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</x:row>
    <x:row r="85" ht="15" hidden="0" customHeight="1">
      <x:c r="A85" s="1"/>
      <x:c r="B85" s="1"/>
      <x:c r="C85" s="53" t="s">
        <x:v>101</x:v>
      </x:c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</x:row>
    <x:row r="86" ht="15" hidden="0" customHeight="1">
      <x:c r="A86" s="1"/>
      <x:c r="B86" s="1"/>
      <x:c r="C86" s="51" t="s">
        <x:v>28</x:v>
      </x:c>
      <x:c r="D86" s="51" t="s">
        <x:v>102</x:v>
      </x:c>
      <x:c r="E86" s="51" t="s">
        <x:v>103</x:v>
      </x:c>
      <x:c r="F86" s="51" t="s">
        <x:v>104</x:v>
      </x:c>
      <x:c r="G86" s="51" t="s">
        <x:v>30</x:v>
      </x:c>
      <x:c r="H86" s="51" t="s">
        <x:v>31</x:v>
      </x:c>
      <x:c r="I86" s="1"/>
      <x:c r="J86" s="1"/>
      <x:c r="K86" s="1"/>
      <x:c r="L86" s="1"/>
      <x:c r="M86" s="1"/>
      <x:c r="N86" s="1"/>
    </x:row>
    <x:row r="87" ht="15" hidden="0" customHeight="1">
      <x:c r="A87" s="1"/>
      <x:c r="B87" s="1"/>
      <x:c r="C87" s="54" t="s">
        <x:v>105</x:v>
      </x:c>
      <x:c r="D87" s="55" t="n">
        <x:v>120.6</x:v>
      </x:c>
      <x:c r="E87" s="63" t="n">
        <x:f aca="0">AVERAGE(D87,F87)</x:f>
        <x:v>124.75</x:v>
      </x:c>
      <x:c r="F87" s="55" t="n">
        <x:v>128.9</x:v>
      </x:c>
      <x:c r="G87" s="54" t="s">
        <x:v>48</x:v>
      </x:c>
      <x:c r="H87" s="54" t="s">
        <x:v>106</x:v>
      </x:c>
      <x:c r="I87" s="1"/>
      <x:c r="J87" s="1"/>
      <x:c r="K87" s="1"/>
      <x:c r="L87" s="1"/>
      <x:c r="M87" s="1"/>
      <x:c r="N87" s="1"/>
    </x:row>
    <x:row r="88" ht="39.75" hidden="0" customHeight="1">
      <x:c r="A88" s="1"/>
      <x:c r="B88" s="1"/>
      <x:c r="C88" s="54" t="s">
        <x:v>107</x:v>
      </x:c>
      <x:c r="D88" s="64" t="s">
        <x:v>108</x:v>
      </x:c>
      <x:c r="E88" s="64"/>
      <x:c r="F88" s="64"/>
      <x:c r="G88" s="64"/>
      <x:c r="H88" s="64"/>
      <x:c r="I88" s="1"/>
      <x:c r="J88" s="1"/>
      <x:c r="K88" s="1"/>
      <x:c r="L88" s="1"/>
      <x:c r="M88" s="1"/>
      <x:c r="N88" s="1"/>
    </x:row>
    <x:row r="89" ht="60" hidden="0" customHeight="1">
      <x:c r="A89" s="1"/>
      <x:c r="B89" s="1"/>
      <x:c r="C89" s="54" t="s">
        <x:v>109</x:v>
      </x:c>
      <x:c r="D89" s="64" t="s">
        <x:v>110</x:v>
      </x:c>
      <x:c r="E89" s="64"/>
      <x:c r="F89" s="64"/>
      <x:c r="G89" s="64"/>
      <x:c r="H89" s="64"/>
      <x:c r="I89" s="1"/>
      <x:c r="J89" s="1"/>
      <x:c r="K89" s="1"/>
      <x:c r="L89" s="1"/>
      <x:c r="M89" s="1"/>
      <x:c r="N89" s="1"/>
    </x:row>
    <x:row r="90" ht="15" hidden="0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</x:row>
    <x:row r="91" ht="15" hidden="0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</x:row>
    <x:row r="92" ht="15" hidden="0" customHeight="1">
      <x:c r="A92" s="1"/>
      <x:c r="B92" s="1"/>
      <x:c r="C92" s="53" t="s">
        <x:v>111</x:v>
      </x:c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</x:row>
    <x:row r="93" ht="15" hidden="0" customHeight="1">
      <x:c r="A93" s="1"/>
      <x:c r="B93" s="1"/>
      <x:c r="C93" s="51" t="s">
        <x:v>28</x:v>
      </x:c>
      <x:c r="D93" s="51" t="s">
        <x:v>85</x:v>
      </x:c>
      <x:c r="E93" s="51" t="s">
        <x:v>86</x:v>
      </x:c>
      <x:c r="F93" s="51" t="s">
        <x:v>87</x:v>
      </x:c>
      <x:c r="G93" s="51" t="s">
        <x:v>30</x:v>
      </x:c>
      <x:c r="H93" s="51" t="s">
        <x:v>31</x:v>
      </x:c>
      <x:c r="I93" s="1"/>
      <x:c r="J93" s="1"/>
      <x:c r="K93" s="1"/>
      <x:c r="L93" s="1"/>
      <x:c r="M93" s="1"/>
      <x:c r="N93" s="1"/>
    </x:row>
    <x:row r="94" ht="15" hidden="0" customHeight="1">
      <x:c r="A94" s="1"/>
      <x:c r="B94" s="1"/>
      <x:c r="C94" s="54" t="s">
        <x:v>112</x:v>
      </x:c>
      <x:c r="D94" s="63" t="n">
        <x:f aca="0">12.7*12/7</x:f>
        <x:v>21.77142857142857</x:v>
      </x:c>
      <x:c r="E94" s="63" t="n">
        <x:f aca="0">AVERAGE(D94,F94)</x:f>
        <x:v>23.685714285714283</x:v>
      </x:c>
      <x:c r="F94" s="55" t="n">
        <x:v>25.6</x:v>
      </x:c>
      <x:c r="G94" s="54" t="s">
        <x:v>62</x:v>
      </x:c>
      <x:c r="H94" s="54" t="s">
        <x:v>113</x:v>
      </x:c>
      <x:c r="I94" s="1"/>
      <x:c r="J94" s="1"/>
      <x:c r="K94" s="1"/>
      <x:c r="L94" s="1"/>
      <x:c r="M94" s="1"/>
      <x:c r="N94" s="1"/>
    </x:row>
    <x:row r="95" ht="15" hidden="0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</x:row>
    <x:row r="96" ht="15" hidden="0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</x:row>
    <x:row r="97" ht="15" hidden="0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</x:row>
    <x:row r="98" ht="15" hidden="0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</x:row>
    <x:row r="99" ht="15" hidden="0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</x:row>
    <x:row r="100" ht="15" hidden="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</x:row>
  </x:sheetData>
  <x:mergeCells>
    <x:mergeCell ref="D76:H76"/>
    <x:mergeCell ref="D88:H88"/>
    <x:mergeCell ref="D89:H89"/>
  </x:mergeCells>
  <x:dataValidations count="1">
    <x:dataValidation type="whole" errorStyle="stop" operator="between" allowBlank="0" showDropDown="0" showInputMessage="0" showErrorMessage="0" sqref="C4">
      <x:formula1>1</x:formula1>
      <x:formula2>3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2" width="2.200000047683716" hidden="0" customWidth="1"/>
    <x:col min="3" max="3" width="9" hidden="0" customWidth="1"/>
    <x:col min="4" max="4" width="13" hidden="0" customWidth="1"/>
    <x:col min="5" max="5" width="16" hidden="0" customWidth="1"/>
    <x:col min="6" max="7" width="12" hidden="0" customWidth="1"/>
    <x:col min="8" max="8" width="13" hidden="0" customWidth="1"/>
    <x:col min="9" max="9" width="11" hidden="0" customWidth="1"/>
    <x:col min="10" max="10" width="14" hidden="0" customWidth="1"/>
    <x:col min="11" max="15" width="11" hidden="0" customWidth="1"/>
    <x:col min="16" max="16" width="12" hidden="0" customWidth="1"/>
    <x:col min="17" max="17" width="15" hidden="0" customWidth="1"/>
    <x:col min="18" max="18" width="13" hidden="0" customWidth="1"/>
    <x:col min="19" max="19" width="14" hidden="0" customWidth="1"/>
    <x:col min="20" max="20" width="13" hidden="0" customWidth="1"/>
  </x:cols>
  <x:sheetData>
    <x:row r="1" ht="15" hidden="0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 ht="25.5" hidden="0" customHeight="1">
      <x:c r="A2" s="1"/>
      <x:c r="B2" s="1"/>
      <x:c r="C2" s="2" t="s">
        <x:v>114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 ht="15" hidden="0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</x:row>
    <x:row r="4" ht="15" hidden="0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 ht="15" hidden="0">
      <x:c r="A5" s="1"/>
      <x:c r="B5" s="1"/>
      <x:c r="C5" s="1" t="s">
        <x:v>1</x:v>
      </x:c>
      <x:c r="D5" s="4" t="e">
        <x:f aca="0">Предпосылки!$D$4</x:f>
        <x:v>#NAME?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15" hidden="0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 ht="27.75" hidden="0" customHeight="1">
      <x:c r="A7" s="1"/>
      <x:c r="B7" s="1"/>
      <x:c r="C7" s="18" t="s">
        <x:v>15</x:v>
      </x:c>
      <x:c r="D7" s="19" t="s">
        <x:v>115</x:v>
      </x:c>
      <x:c r="E7" s="19" t="s">
        <x:v>116</x:v>
      </x:c>
      <x:c r="F7" s="19" t="str">
        <x:v>Ипотечная доступность</x:v>
      </x:c>
      <x:c r="G7" s="19" t="s">
        <x:v>37</x:v>
      </x:c>
      <x:c r="H7" s="19" t="s">
        <x:v>117</x:v>
      </x:c>
      <x:c r="I7" s="19" t="s">
        <x:v>118</x:v>
      </x:c>
      <x:c r="J7" s="19" t="s">
        <x:v>119</x:v>
      </x:c>
      <x:c r="K7" s="19" t="s">
        <x:v>120</x:v>
      </x:c>
      <x:c r="L7" s="19" t="s">
        <x:v>121</x:v>
      </x:c>
      <x:c r="M7" s="19" t="s">
        <x:v>122</x:v>
      </x:c>
      <x:c r="N7" s="19" t="s">
        <x:v>123</x:v>
      </x:c>
      <x:c r="O7" s="19" t="s">
        <x:v>124</x:v>
      </x:c>
      <x:c r="P7" s="19" t="s">
        <x:v>125</x:v>
      </x:c>
      <x:c r="Q7" s="19" t="s">
        <x:v>126</x:v>
      </x:c>
      <x:c r="R7" s="19" t="s">
        <x:v>127</x:v>
      </x:c>
      <x:c r="S7" s="19" t="s">
        <x:v>128</x:v>
      </x:c>
      <x:c r="T7" s="20" t="s">
        <x:v>129</x:v>
      </x:c>
    </x:row>
    <x:row r="8" ht="15" hidden="0">
      <x:c r="A8" s="1"/>
      <x:c r="B8" s="1"/>
      <x:c r="C8" s="5" t="e">
        <x:f aca="0">Предпосылки!D$21</x:f>
        <x:v>#NAME?</x:v>
      </x:c>
      <x:c r="D8" s="65" t="e">
        <x:f aca="0">Предпосылки!D$22</x:f>
        <x:v>#NAME?</x:v>
      </x:c>
      <x:c r="E8" s="66" t="e">
        <x:f aca="0">Предпосылки!D$27</x:f>
        <x:v>#NAME?</x:v>
      </x:c>
      <x:c r="F8" s="67" t="e">
        <x:f aca="0">Предпосылки!D$32</x:f>
        <x:v>#NAME?</x:v>
      </x:c>
      <x:c r="G8" s="67" t="e">
        <x:f aca="0">Предпосылки!D$52</x:f>
        <x:v>#NAME?</x:v>
      </x:c>
      <x:c r="H8" s="67" t="e">
        <x:f aca="0">Предпосылки!D$57</x:f>
        <x:v>#NAME?</x:v>
      </x:c>
      <x:c r="I8" s="67" t="e">
        <x:f aca="0">Предпосылки!D$62</x:f>
        <x:v>#NAME?</x:v>
      </x:c>
      <x:c r="J8" s="65" t="e">
        <x:f aca="0">Предпосылки!D$37</x:f>
        <x:v>#NAME?</x:v>
      </x:c>
      <x:c r="K8" s="68" t="e">
        <x:f aca="0">Предпосылки!$I$9*Предпосылки!$K$9</x:f>
        <x:v>#NAME?</x:v>
      </x:c>
      <x:c r="L8" s="68" t="e">
        <x:f aca="0">Предпосылки!$I$10*Предпосылки!$K$10</x:f>
        <x:v>#NAME?</x:v>
      </x:c>
      <x:c r="M8" s="68" t="e">
        <x:f aca="0">Предпосылки!$I$11*Предпосылки!$K$11</x:f>
        <x:v>#NAME?</x:v>
      </x:c>
      <x:c r="N8" s="68" t="e">
        <x:f aca="0">Предпосылки!$I$12*Предпосылки!$K$12</x:f>
        <x:v>#NAME?</x:v>
      </x:c>
      <x:c r="O8" s="68" t="e">
        <x:f aca="0">Предпосылки!$I$13*Предпосылки!$K$13</x:f>
        <x:v>#NAME?</x:v>
      </x:c>
      <x:c r="P8" s="68" t="e">
        <x:f aca="0">Предпосылки!$I$14*Предпосылки!$K$14</x:f>
        <x:v>#NAME?</x:v>
      </x:c>
      <x:c r="Q8" s="69" t="e">
        <x:f aca="0">MAX(0,J8+SUM(K8:P8))</x:f>
        <x:v>#NAME?</x:v>
      </x:c>
      <x:c r="R8" s="70" t="e">
        <x:f aca="0">Q8/Предпосылки!$D$9*1000</x:f>
        <x:v>#NAME?</x:v>
      </x:c>
      <x:c r="S8" s="70" t="e">
        <x:f aca="0">Предпосылки!$D$11*(1+I8)</x:f>
        <x:v>#NAME?</x:v>
      </x:c>
      <x:c r="T8" s="69" t="e">
        <x:f aca="0">Q8*S8/1000000</x:f>
        <x:v>#NAME?</x:v>
      </x:c>
    </x:row>
    <x:row r="9" ht="15" hidden="0">
      <x:c r="A9" s="1"/>
      <x:c r="B9" s="1"/>
      <x:c r="C9" s="22" t="e">
        <x:f aca="0">Предпосылки!E$21</x:f>
        <x:v>#NAME?</x:v>
      </x:c>
      <x:c r="D9" s="71" t="e">
        <x:f aca="0">Предпосылки!E$22</x:f>
        <x:v>#NAME?</x:v>
      </x:c>
      <x:c r="E9" s="72" t="e">
        <x:f aca="0">Предпосылки!E$27</x:f>
        <x:v>#NAME?</x:v>
      </x:c>
      <x:c r="F9" s="73" t="e">
        <x:f aca="0">Предпосылки!E$32</x:f>
        <x:v>#NAME?</x:v>
      </x:c>
      <x:c r="G9" s="73" t="e">
        <x:f aca="0">Предпосылки!E$52</x:f>
        <x:v>#NAME?</x:v>
      </x:c>
      <x:c r="H9" s="73" t="e">
        <x:f aca="0">Предпосылки!E$57</x:f>
        <x:v>#NAME?</x:v>
      </x:c>
      <x:c r="I9" s="73" t="e">
        <x:f aca="0">Предпосылки!E$62</x:f>
        <x:v>#NAME?</x:v>
      </x:c>
      <x:c r="J9" s="71" t="e">
        <x:f aca="0">Предпосылки!E$37</x:f>
        <x:v>#NAME?</x:v>
      </x:c>
      <x:c r="K9" s="74" t="e">
        <x:f aca="0">Предпосылки!$I$9*Предпосылки!$K$9</x:f>
        <x:v>#NAME?</x:v>
      </x:c>
      <x:c r="L9" s="74" t="e">
        <x:f aca="0">Предпосылки!$I$10*Предпосылки!$K$10</x:f>
        <x:v>#NAME?</x:v>
      </x:c>
      <x:c r="M9" s="74" t="e">
        <x:f aca="0">Предпосылки!$I$11*Предпосылки!$K$11</x:f>
        <x:v>#NAME?</x:v>
      </x:c>
      <x:c r="N9" s="74" t="e">
        <x:f aca="0">Предпосылки!$I$12*Предпосылки!$K$12</x:f>
        <x:v>#NAME?</x:v>
      </x:c>
      <x:c r="O9" s="74" t="e">
        <x:f aca="0">Предпосылки!$I$13*Предпосылки!$K$13</x:f>
        <x:v>#NAME?</x:v>
      </x:c>
      <x:c r="P9" s="74" t="e">
        <x:f aca="0">Предпосылки!$I$14*Предпосылки!$K$14</x:f>
        <x:v>#NAME?</x:v>
      </x:c>
      <x:c r="Q9" s="75" t="e">
        <x:f aca="0">MAX(0,J9+SUM(K9:P9))</x:f>
        <x:v>#NAME?</x:v>
      </x:c>
      <x:c r="R9" s="76" t="e">
        <x:f aca="0">Q9/Предпосылки!$D$9*1000</x:f>
        <x:v>#NAME?</x:v>
      </x:c>
      <x:c r="S9" s="76" t="e">
        <x:f aca="0">S8*(1+I9)</x:f>
        <x:v>#NAME?</x:v>
      </x:c>
      <x:c r="T9" s="75" t="e">
        <x:f aca="0">Q9*S9/1000000</x:f>
        <x:v>#NAME?</x:v>
      </x:c>
    </x:row>
    <x:row r="10" ht="15" hidden="0">
      <x:c r="A10" s="1"/>
      <x:c r="B10" s="1"/>
      <x:c r="C10" s="22" t="e">
        <x:f aca="0">Предпосылки!F$21</x:f>
        <x:v>#NAME?</x:v>
      </x:c>
      <x:c r="D10" s="71" t="e">
        <x:f aca="0">Предпосылки!F$22</x:f>
        <x:v>#NAME?</x:v>
      </x:c>
      <x:c r="E10" s="72" t="e">
        <x:f aca="0">Предпосылки!F$27</x:f>
        <x:v>#NAME?</x:v>
      </x:c>
      <x:c r="F10" s="73" t="e">
        <x:f aca="0">Предпосылки!F$32</x:f>
        <x:v>#NAME?</x:v>
      </x:c>
      <x:c r="G10" s="73" t="e">
        <x:f aca="0">Предпосылки!F$52</x:f>
        <x:v>#NAME?</x:v>
      </x:c>
      <x:c r="H10" s="73" t="e">
        <x:f aca="0">Предпосылки!F$57</x:f>
        <x:v>#NAME?</x:v>
      </x:c>
      <x:c r="I10" s="73" t="e">
        <x:f aca="0">Предпосылки!F$62</x:f>
        <x:v>#NAME?</x:v>
      </x:c>
      <x:c r="J10" s="71" t="e">
        <x:f aca="0">Предпосылки!F$37</x:f>
        <x:v>#NAME?</x:v>
      </x:c>
      <x:c r="K10" s="74" t="e">
        <x:f aca="0">Предпосылки!$I$9*Предпосылки!$K$9</x:f>
        <x:v>#NAME?</x:v>
      </x:c>
      <x:c r="L10" s="74" t="e">
        <x:f aca="0">Предпосылки!$I$10*Предпосылки!$K$10</x:f>
        <x:v>#NAME?</x:v>
      </x:c>
      <x:c r="M10" s="74" t="e">
        <x:f aca="0">Предпосылки!$I$11*Предпосылки!$K$11</x:f>
        <x:v>#NAME?</x:v>
      </x:c>
      <x:c r="N10" s="74" t="e">
        <x:f aca="0">Предпосылки!$I$12*Предпосылки!$K$12</x:f>
        <x:v>#NAME?</x:v>
      </x:c>
      <x:c r="O10" s="74" t="e">
        <x:f aca="0">Предпосылки!$I$13*Предпосылки!$K$13</x:f>
        <x:v>#NAME?</x:v>
      </x:c>
      <x:c r="P10" s="74" t="e">
        <x:f aca="0">Предпосылки!$I$14*Предпосылки!$K$14</x:f>
        <x:v>#NAME?</x:v>
      </x:c>
      <x:c r="Q10" s="75" t="e">
        <x:f aca="0">MAX(0,J10+SUM(K10:P10))</x:f>
        <x:v>#NAME?</x:v>
      </x:c>
      <x:c r="R10" s="76" t="e">
        <x:f aca="0">Q10/Предпосылки!$D$9*1000</x:f>
        <x:v>#NAME?</x:v>
      </x:c>
      <x:c r="S10" s="76" t="e">
        <x:f aca="0">S9*(1+I10)</x:f>
        <x:v>#NAME?</x:v>
      </x:c>
      <x:c r="T10" s="75" t="e">
        <x:f aca="0">Q10*S10/1000000</x:f>
        <x:v>#NAME?</x:v>
      </x:c>
    </x:row>
    <x:row r="11" ht="15" hidden="0">
      <x:c r="A11" s="1"/>
      <x:c r="B11" s="1"/>
      <x:c r="C11" s="22" t="e">
        <x:f aca="0">Предпосылки!G$21</x:f>
        <x:v>#NAME?</x:v>
      </x:c>
      <x:c r="D11" s="71" t="e">
        <x:f aca="0">Предпосылки!G$22</x:f>
        <x:v>#NAME?</x:v>
      </x:c>
      <x:c r="E11" s="72" t="e">
        <x:f aca="0">Предпосылки!G$27</x:f>
        <x:v>#NAME?</x:v>
      </x:c>
      <x:c r="F11" s="73" t="e">
        <x:f aca="0">Предпосылки!G$32</x:f>
        <x:v>#NAME?</x:v>
      </x:c>
      <x:c r="G11" s="73" t="e">
        <x:f aca="0">Предпосылки!G$52</x:f>
        <x:v>#NAME?</x:v>
      </x:c>
      <x:c r="H11" s="73" t="e">
        <x:f aca="0">Предпосылки!G$57</x:f>
        <x:v>#NAME?</x:v>
      </x:c>
      <x:c r="I11" s="73" t="e">
        <x:f aca="0">Предпосылки!G$62</x:f>
        <x:v>#NAME?</x:v>
      </x:c>
      <x:c r="J11" s="71" t="e">
        <x:f aca="0">Предпосылки!G$37</x:f>
        <x:v>#NAME?</x:v>
      </x:c>
      <x:c r="K11" s="74" t="e">
        <x:f aca="0">Предпосылки!$I$9*Предпосылки!$K$9</x:f>
        <x:v>#NAME?</x:v>
      </x:c>
      <x:c r="L11" s="74" t="e">
        <x:f aca="0">Предпосылки!$I$10*Предпосылки!$K$10</x:f>
        <x:v>#NAME?</x:v>
      </x:c>
      <x:c r="M11" s="74" t="e">
        <x:f aca="0">Предпосылки!$I$11*Предпосылки!$K$11</x:f>
        <x:v>#NAME?</x:v>
      </x:c>
      <x:c r="N11" s="74" t="e">
        <x:f aca="0">Предпосылки!$I$12*Предпосылки!$K$12</x:f>
        <x:v>#NAME?</x:v>
      </x:c>
      <x:c r="O11" s="74" t="e">
        <x:f aca="0">Предпосылки!$I$13*Предпосылки!$K$13</x:f>
        <x:v>#NAME?</x:v>
      </x:c>
      <x:c r="P11" s="74" t="e">
        <x:f aca="0">Предпосылки!$I$14*Предпосылки!$K$14</x:f>
        <x:v>#NAME?</x:v>
      </x:c>
      <x:c r="Q11" s="75" t="e">
        <x:f aca="0">MAX(0,J11+SUM(K11:P11))</x:f>
        <x:v>#NAME?</x:v>
      </x:c>
      <x:c r="R11" s="76" t="e">
        <x:f aca="0">Q11/Предпосылки!$D$9*1000</x:f>
        <x:v>#NAME?</x:v>
      </x:c>
      <x:c r="S11" s="76" t="e">
        <x:f aca="0">S10*(1+I11)</x:f>
        <x:v>#NAME?</x:v>
      </x:c>
      <x:c r="T11" s="75" t="e">
        <x:f aca="0">Q11*S11/1000000</x:f>
        <x:v>#NAME?</x:v>
      </x:c>
    </x:row>
    <x:row r="12" ht="15" hidden="0">
      <x:c r="A12" s="1"/>
      <x:c r="B12" s="1"/>
      <x:c r="C12" s="22" t="e">
        <x:f aca="0">Предпосылки!H$21</x:f>
        <x:v>#NAME?</x:v>
      </x:c>
      <x:c r="D12" s="71" t="e">
        <x:f aca="0">Предпосылки!H$22</x:f>
        <x:v>#NAME?</x:v>
      </x:c>
      <x:c r="E12" s="72" t="e">
        <x:f aca="0">Предпосылки!H$27</x:f>
        <x:v>#NAME?</x:v>
      </x:c>
      <x:c r="F12" s="73" t="e">
        <x:f aca="0">Предпосылки!H$32</x:f>
        <x:v>#NAME?</x:v>
      </x:c>
      <x:c r="G12" s="73" t="e">
        <x:f aca="0">Предпосылки!H$52</x:f>
        <x:v>#NAME?</x:v>
      </x:c>
      <x:c r="H12" s="73" t="e">
        <x:f aca="0">Предпосылки!H$57</x:f>
        <x:v>#NAME?</x:v>
      </x:c>
      <x:c r="I12" s="73" t="e">
        <x:f aca="0">Предпосылки!H$62</x:f>
        <x:v>#NAME?</x:v>
      </x:c>
      <x:c r="J12" s="71" t="e">
        <x:f aca="0">Предпосылки!H$37</x:f>
        <x:v>#NAME?</x:v>
      </x:c>
      <x:c r="K12" s="74" t="e">
        <x:f aca="0">Предпосылки!$I$9*Предпосылки!$K$9</x:f>
        <x:v>#NAME?</x:v>
      </x:c>
      <x:c r="L12" s="74" t="e">
        <x:f aca="0">Предпосылки!$I$10*Предпосылки!$K$10</x:f>
        <x:v>#NAME?</x:v>
      </x:c>
      <x:c r="M12" s="74" t="e">
        <x:f aca="0">Предпосылки!$I$11*Предпосылки!$K$11</x:f>
        <x:v>#NAME?</x:v>
      </x:c>
      <x:c r="N12" s="74" t="e">
        <x:f aca="0">Предпосылки!$I$12*Предпосылки!$K$12</x:f>
        <x:v>#NAME?</x:v>
      </x:c>
      <x:c r="O12" s="74" t="e">
        <x:f aca="0">Предпосылки!$I$13*Предпосылки!$K$13</x:f>
        <x:v>#NAME?</x:v>
      </x:c>
      <x:c r="P12" s="74" t="e">
        <x:f aca="0">Предпосылки!$I$14*Предпосылки!$K$14</x:f>
        <x:v>#NAME?</x:v>
      </x:c>
      <x:c r="Q12" s="75" t="e">
        <x:f aca="0">MAX(0,J12+SUM(K12:P12))</x:f>
        <x:v>#NAME?</x:v>
      </x:c>
      <x:c r="R12" s="76" t="e">
        <x:f aca="0">Q12/Предпосылки!$D$9*1000</x:f>
        <x:v>#NAME?</x:v>
      </x:c>
      <x:c r="S12" s="76" t="e">
        <x:f aca="0">S11*(1+I12)</x:f>
        <x:v>#NAME?</x:v>
      </x:c>
      <x:c r="T12" s="75" t="e">
        <x:f aca="0">Q12*S12/1000000</x:f>
        <x:v>#NAME?</x:v>
      </x:c>
    </x:row>
    <x:row r="13" ht="15" hidden="0">
      <x:c r="A13" s="1"/>
      <x:c r="B13" s="1"/>
      <x:c r="C13" s="22" t="e">
        <x:f aca="0">Предпосылки!I$21</x:f>
        <x:v>#NAME?</x:v>
      </x:c>
      <x:c r="D13" s="71" t="e">
        <x:f aca="0">Предпосылки!I$22</x:f>
        <x:v>#NAME?</x:v>
      </x:c>
      <x:c r="E13" s="72" t="e">
        <x:f aca="0">Предпосылки!I$27</x:f>
        <x:v>#NAME?</x:v>
      </x:c>
      <x:c r="F13" s="73" t="e">
        <x:f aca="0">Предпосылки!I$32</x:f>
        <x:v>#NAME?</x:v>
      </x:c>
      <x:c r="G13" s="73" t="e">
        <x:f aca="0">Предпосылки!I$52</x:f>
        <x:v>#NAME?</x:v>
      </x:c>
      <x:c r="H13" s="73" t="e">
        <x:f aca="0">Предпосылки!I$57</x:f>
        <x:v>#NAME?</x:v>
      </x:c>
      <x:c r="I13" s="73" t="e">
        <x:f aca="0">Предпосылки!I$62</x:f>
        <x:v>#NAME?</x:v>
      </x:c>
      <x:c r="J13" s="71" t="e">
        <x:f aca="0">Предпосылки!I$37</x:f>
        <x:v>#NAME?</x:v>
      </x:c>
      <x:c r="K13" s="74" t="e">
        <x:f aca="0">Предпосылки!$I$9*Предпосылки!$K$9</x:f>
        <x:v>#NAME?</x:v>
      </x:c>
      <x:c r="L13" s="74" t="e">
        <x:f aca="0">Предпосылки!$I$10*Предпосылки!$K$10</x:f>
        <x:v>#NAME?</x:v>
      </x:c>
      <x:c r="M13" s="74" t="e">
        <x:f aca="0">Предпосылки!$I$11*Предпосылки!$K$11</x:f>
        <x:v>#NAME?</x:v>
      </x:c>
      <x:c r="N13" s="74" t="e">
        <x:f aca="0">Предпосылки!$I$12*Предпосылки!$K$12</x:f>
        <x:v>#NAME?</x:v>
      </x:c>
      <x:c r="O13" s="74" t="e">
        <x:f aca="0">Предпосылки!$I$13*Предпосылки!$K$13</x:f>
        <x:v>#NAME?</x:v>
      </x:c>
      <x:c r="P13" s="74" t="e">
        <x:f aca="0">Предпосылки!$I$14*Предпосылки!$K$14</x:f>
        <x:v>#NAME?</x:v>
      </x:c>
      <x:c r="Q13" s="75" t="e">
        <x:f aca="0">MAX(0,J13+SUM(K13:P13))</x:f>
        <x:v>#NAME?</x:v>
      </x:c>
      <x:c r="R13" s="76" t="e">
        <x:f aca="0">Q13/Предпосылки!$D$9*1000</x:f>
        <x:v>#NAME?</x:v>
      </x:c>
      <x:c r="S13" s="76" t="e">
        <x:f aca="0">S12*(1+I13)</x:f>
        <x:v>#NAME?</x:v>
      </x:c>
      <x:c r="T13" s="75" t="e">
        <x:f aca="0">Q13*S13/1000000</x:f>
        <x:v>#NAME?</x:v>
      </x:c>
    </x:row>
    <x:row r="14" ht="15" hidden="0">
      <x:c r="A14" s="1"/>
      <x:c r="B14" s="1"/>
      <x:c r="C14" s="22" t="e">
        <x:f aca="0">Предпосылки!J$21</x:f>
        <x:v>#NAME?</x:v>
      </x:c>
      <x:c r="D14" s="71" t="e">
        <x:f aca="0">Предпосылки!J$22</x:f>
        <x:v>#NAME?</x:v>
      </x:c>
      <x:c r="E14" s="72" t="e">
        <x:f aca="0">Предпосылки!J$27</x:f>
        <x:v>#NAME?</x:v>
      </x:c>
      <x:c r="F14" s="73" t="e">
        <x:f aca="0">Предпосылки!J$32</x:f>
        <x:v>#NAME?</x:v>
      </x:c>
      <x:c r="G14" s="73" t="e">
        <x:f aca="0">Предпосылки!J$52</x:f>
        <x:v>#NAME?</x:v>
      </x:c>
      <x:c r="H14" s="73" t="e">
        <x:f aca="0">Предпосылки!J$57</x:f>
        <x:v>#NAME?</x:v>
      </x:c>
      <x:c r="I14" s="73" t="e">
        <x:f aca="0">Предпосылки!J$62</x:f>
        <x:v>#NAME?</x:v>
      </x:c>
      <x:c r="J14" s="71" t="e">
        <x:f aca="0">Предпосылки!J$37</x:f>
        <x:v>#NAME?</x:v>
      </x:c>
      <x:c r="K14" s="74" t="e">
        <x:f aca="0">Предпосылки!$I$9*Предпосылки!$K$9</x:f>
        <x:v>#NAME?</x:v>
      </x:c>
      <x:c r="L14" s="74" t="e">
        <x:f aca="0">Предпосылки!$I$10*Предпосылки!$K$10</x:f>
        <x:v>#NAME?</x:v>
      </x:c>
      <x:c r="M14" s="74" t="e">
        <x:f aca="0">Предпосылки!$I$11*Предпосылки!$K$11</x:f>
        <x:v>#NAME?</x:v>
      </x:c>
      <x:c r="N14" s="74" t="e">
        <x:f aca="0">Предпосылки!$I$12*Предпосылки!$K$12</x:f>
        <x:v>#NAME?</x:v>
      </x:c>
      <x:c r="O14" s="74" t="e">
        <x:f aca="0">Предпосылки!$I$13*Предпосылки!$K$13</x:f>
        <x:v>#NAME?</x:v>
      </x:c>
      <x:c r="P14" s="74" t="e">
        <x:f aca="0">Предпосылки!$I$14*Предпосылки!$K$14</x:f>
        <x:v>#NAME?</x:v>
      </x:c>
      <x:c r="Q14" s="75" t="e">
        <x:f aca="0">MAX(0,J14+SUM(K14:P14))</x:f>
        <x:v>#NAME?</x:v>
      </x:c>
      <x:c r="R14" s="76" t="e">
        <x:f aca="0">Q14/Предпосылки!$D$9*1000</x:f>
        <x:v>#NAME?</x:v>
      </x:c>
      <x:c r="S14" s="76" t="e">
        <x:f aca="0">S13*(1+I14)</x:f>
        <x:v>#NAME?</x:v>
      </x:c>
      <x:c r="T14" s="75" t="e">
        <x:f aca="0">Q14*S14/1000000</x:f>
        <x:v>#NAME?</x:v>
      </x:c>
    </x:row>
    <x:row r="15" ht="15" hidden="0">
      <x:c r="A15" s="1"/>
      <x:c r="B15" s="1"/>
      <x:c r="C15" s="22" t="e">
        <x:f aca="0">Предпосылки!K$21</x:f>
        <x:v>#NAME?</x:v>
      </x:c>
      <x:c r="D15" s="71" t="e">
        <x:f aca="0">Предпосылки!K$22</x:f>
        <x:v>#NAME?</x:v>
      </x:c>
      <x:c r="E15" s="72" t="e">
        <x:f aca="0">Предпосылки!K$27</x:f>
        <x:v>#NAME?</x:v>
      </x:c>
      <x:c r="F15" s="73" t="e">
        <x:f aca="0">Предпосылки!K$32</x:f>
        <x:v>#NAME?</x:v>
      </x:c>
      <x:c r="G15" s="73" t="e">
        <x:f aca="0">Предпосылки!K$52</x:f>
        <x:v>#NAME?</x:v>
      </x:c>
      <x:c r="H15" s="73" t="e">
        <x:f aca="0">Предпосылки!K$57</x:f>
        <x:v>#NAME?</x:v>
      </x:c>
      <x:c r="I15" s="73" t="e">
        <x:f aca="0">Предпосылки!K$62</x:f>
        <x:v>#NAME?</x:v>
      </x:c>
      <x:c r="J15" s="71" t="e">
        <x:f aca="0">Предпосылки!K$37</x:f>
        <x:v>#NAME?</x:v>
      </x:c>
      <x:c r="K15" s="74" t="e">
        <x:f aca="0">Предпосылки!$I$9*Предпосылки!$K$9</x:f>
        <x:v>#NAME?</x:v>
      </x:c>
      <x:c r="L15" s="74" t="e">
        <x:f aca="0">Предпосылки!$I$10*Предпосылки!$K$10</x:f>
        <x:v>#NAME?</x:v>
      </x:c>
      <x:c r="M15" s="74" t="e">
        <x:f aca="0">Предпосылки!$I$11*Предпосылки!$K$11</x:f>
        <x:v>#NAME?</x:v>
      </x:c>
      <x:c r="N15" s="74" t="e">
        <x:f aca="0">Предпосылки!$I$12*Предпосылки!$K$12</x:f>
        <x:v>#NAME?</x:v>
      </x:c>
      <x:c r="O15" s="74" t="e">
        <x:f aca="0">Предпосылки!$I$13*Предпосылки!$K$13</x:f>
        <x:v>#NAME?</x:v>
      </x:c>
      <x:c r="P15" s="74" t="e">
        <x:f aca="0">Предпосылки!$I$14*Предпосылки!$K$14</x:f>
        <x:v>#NAME?</x:v>
      </x:c>
      <x:c r="Q15" s="75" t="e">
        <x:f aca="0">MAX(0,J15+SUM(K15:P15))</x:f>
        <x:v>#NAME?</x:v>
      </x:c>
      <x:c r="R15" s="76" t="e">
        <x:f aca="0">Q15/Предпосылки!$D$9*1000</x:f>
        <x:v>#NAME?</x:v>
      </x:c>
      <x:c r="S15" s="76" t="e">
        <x:f aca="0">S14*(1+I15)</x:f>
        <x:v>#NAME?</x:v>
      </x:c>
      <x:c r="T15" s="75" t="e">
        <x:f aca="0">Q15*S15/1000000</x:f>
        <x:v>#NAME?</x:v>
      </x:c>
    </x:row>
    <x:row r="16" ht="15" hidden="0">
      <x:c r="A16" s="1"/>
      <x:c r="B16" s="1"/>
      <x:c r="C16" s="22" t="e">
        <x:f aca="0">Предпосылки!L$21</x:f>
        <x:v>#NAME?</x:v>
      </x:c>
      <x:c r="D16" s="71" t="e">
        <x:f aca="0">Предпосылки!L$22</x:f>
        <x:v>#NAME?</x:v>
      </x:c>
      <x:c r="E16" s="72" t="e">
        <x:f aca="0">Предпосылки!L$27</x:f>
        <x:v>#NAME?</x:v>
      </x:c>
      <x:c r="F16" s="73" t="e">
        <x:f aca="0">Предпосылки!L$32</x:f>
        <x:v>#NAME?</x:v>
      </x:c>
      <x:c r="G16" s="73" t="e">
        <x:f aca="0">Предпосылки!L$52</x:f>
        <x:v>#NAME?</x:v>
      </x:c>
      <x:c r="H16" s="73" t="e">
        <x:f aca="0">Предпосылки!L$57</x:f>
        <x:v>#NAME?</x:v>
      </x:c>
      <x:c r="I16" s="73" t="e">
        <x:f aca="0">Предпосылки!L$62</x:f>
        <x:v>#NAME?</x:v>
      </x:c>
      <x:c r="J16" s="71" t="e">
        <x:f aca="0">Предпосылки!L$37</x:f>
        <x:v>#NAME?</x:v>
      </x:c>
      <x:c r="K16" s="74" t="e">
        <x:f aca="0">Предпосылки!$I$9*Предпосылки!$K$9</x:f>
        <x:v>#NAME?</x:v>
      </x:c>
      <x:c r="L16" s="74" t="e">
        <x:f aca="0">Предпосылки!$I$10*Предпосылки!$K$10</x:f>
        <x:v>#NAME?</x:v>
      </x:c>
      <x:c r="M16" s="74" t="e">
        <x:f aca="0">Предпосылки!$I$11*Предпосылки!$K$11</x:f>
        <x:v>#NAME?</x:v>
      </x:c>
      <x:c r="N16" s="74" t="e">
        <x:f aca="0">Предпосылки!$I$12*Предпосылки!$K$12</x:f>
        <x:v>#NAME?</x:v>
      </x:c>
      <x:c r="O16" s="74" t="e">
        <x:f aca="0">Предпосылки!$I$13*Предпосылки!$K$13</x:f>
        <x:v>#NAME?</x:v>
      </x:c>
      <x:c r="P16" s="74" t="e">
        <x:f aca="0">Предпосылки!$I$14*Предпосылки!$K$14</x:f>
        <x:v>#NAME?</x:v>
      </x:c>
      <x:c r="Q16" s="75" t="e">
        <x:f aca="0">MAX(0,J16+SUM(K16:P16))</x:f>
        <x:v>#NAME?</x:v>
      </x:c>
      <x:c r="R16" s="76" t="e">
        <x:f aca="0">Q16/Предпосылки!$D$9*1000</x:f>
        <x:v>#NAME?</x:v>
      </x:c>
      <x:c r="S16" s="76" t="e">
        <x:f aca="0">S15*(1+I16)</x:f>
        <x:v>#NAME?</x:v>
      </x:c>
      <x:c r="T16" s="75" t="e">
        <x:f aca="0">Q16*S16/1000000</x:f>
        <x:v>#NAME?</x:v>
      </x:c>
    </x:row>
    <x:row r="17" ht="15" hidden="0">
      <x:c r="A17" s="1"/>
      <x:c r="B17" s="1"/>
      <x:c r="C17" s="24" t="e">
        <x:f aca="0">Предпосылки!M$21</x:f>
        <x:v>#NAME?</x:v>
      </x:c>
      <x:c r="D17" s="77" t="e">
        <x:f aca="0">Предпосылки!M$22</x:f>
        <x:v>#NAME?</x:v>
      </x:c>
      <x:c r="E17" s="78" t="e">
        <x:f aca="0">Предпосылки!M$27</x:f>
        <x:v>#NAME?</x:v>
      </x:c>
      <x:c r="F17" s="79" t="e">
        <x:f aca="0">Предпосылки!M$32</x:f>
        <x:v>#NAME?</x:v>
      </x:c>
      <x:c r="G17" s="79" t="e">
        <x:f aca="0">Предпосылки!M$52</x:f>
        <x:v>#NAME?</x:v>
      </x:c>
      <x:c r="H17" s="79" t="e">
        <x:f aca="0">Предпосылки!M$57</x:f>
        <x:v>#NAME?</x:v>
      </x:c>
      <x:c r="I17" s="79" t="e">
        <x:f aca="0">Предпосылки!M$62</x:f>
        <x:v>#NAME?</x:v>
      </x:c>
      <x:c r="J17" s="77" t="e">
        <x:f aca="0">Предпосылки!M$37</x:f>
        <x:v>#NAME?</x:v>
      </x:c>
      <x:c r="K17" s="80" t="e">
        <x:f aca="0">Предпосылки!$I$9*Предпосылки!$K$9</x:f>
        <x:v>#NAME?</x:v>
      </x:c>
      <x:c r="L17" s="80" t="e">
        <x:f aca="0">Предпосылки!$I$10*Предпосылки!$K$10</x:f>
        <x:v>#NAME?</x:v>
      </x:c>
      <x:c r="M17" s="80" t="e">
        <x:f aca="0">Предпосылки!$I$11*Предпосылки!$K$11</x:f>
        <x:v>#NAME?</x:v>
      </x:c>
      <x:c r="N17" s="80" t="e">
        <x:f aca="0">Предпосылки!$I$12*Предпосылки!$K$12</x:f>
        <x:v>#NAME?</x:v>
      </x:c>
      <x:c r="O17" s="80" t="e">
        <x:f aca="0">Предпосылки!$I$13*Предпосылки!$K$13</x:f>
        <x:v>#NAME?</x:v>
      </x:c>
      <x:c r="P17" s="80" t="e">
        <x:f aca="0">Предпосылки!$I$14*Предпосылки!$K$14</x:f>
        <x:v>#NAME?</x:v>
      </x:c>
      <x:c r="Q17" s="81" t="e">
        <x:f aca="0">MAX(0,J17+SUM(K17:P17))</x:f>
        <x:v>#NAME?</x:v>
      </x:c>
      <x:c r="R17" s="82" t="e">
        <x:f aca="0">Q17/Предпосылки!$D$9*1000</x:f>
        <x:v>#NAME?</x:v>
      </x:c>
      <x:c r="S17" s="82" t="e">
        <x:f aca="0">S16*(1+I17)</x:f>
        <x:v>#NAME?</x:v>
      </x:c>
      <x:c r="T17" s="81" t="e">
        <x:f aca="0">Q17*S17/1000000</x:f>
        <x:v>#NAME?</x:v>
      </x:c>
    </x:row>
    <x:row r="18" ht="15" hidden="0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</x:row>
    <x:row r="19" ht="15" hidden="0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</x:row>
    <x:row r="20" ht="147.75" hidden="0">
      <x:c r="A20" s="1"/>
      <x:c r="B20" s="1"/>
      <x:c r="C20" s="30" t="s">
        <x:v>130</x:v>
      </x:c>
      <x:c r="D20" s="27" t="s">
        <x:v>131</x:v>
      </x:c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</x:row>
    <x:row r="21" ht="147.75" hidden="0">
      <x:c r="A21" s="1"/>
      <x:c r="B21" s="1"/>
      <x:c r="C21" s="30" t="s">
        <x:v>132</x:v>
      </x:c>
      <x:c r="D21" s="27" t="str">
        <x:v>Потенциальный спрос не равен платежеспособному спросу. Ипотечная доступность — диагностический показатель, а не механический множитель всего жилищного дефицита.</x:v>
      </x:c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</x:row>
    <x:row r="22" ht="105.94999694824219" hidden="0">
      <x:c r="A22" s="1"/>
      <x:c r="B22" s="1"/>
      <x:c r="C22" s="30" t="s">
        <x:v>133</x:v>
      </x:c>
      <x:c r="D22" s="27" t="s">
        <x:v>134</x:v>
      </x:c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</x:row>
    <x:row r="23" ht="22.350000381469727" hidden="0">
      <x:c r="A23" s="1"/>
      <x:c r="B23" s="1"/>
      <x:c r="C23" s="30" t="s">
        <x:v>31</x:v>
      </x:c>
      <x:c r="D23" s="27" t="s">
        <x:v>135</x:v>
      </x:c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</x:row>
    <x:row r="24" ht="15" hidden="0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</x:row>
    <x:row r="25" ht="15" hidden="0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</x:row>
    <x:row r="26" ht="15" hidden="0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</x:row>
    <x:row r="27" ht="15" hidden="0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</x:row>
    <x:row r="28" ht="15" hidden="0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</x:row>
    <x:row r="29" ht="15" hidden="0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</x:row>
    <x:row r="30" ht="15" hidden="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</x:row>
    <x:row r="31" ht="15" hidden="0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</x:row>
    <x:row r="32" ht="15" hidden="0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</x:row>
    <x:row r="33" ht="15" hidden="0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</x:row>
    <x:row r="34" ht="15" hidden="0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</x:row>
    <x:row r="35" ht="15" hidden="0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</x:row>
    <x:row r="36" ht="15" hidden="0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</x:row>
    <x:row r="37" ht="15" hidden="0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</x:row>
    <x:row r="38" ht="15" hidden="0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</x:row>
    <x:row r="39" ht="15" hidden="0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</x:row>
    <x:row r="40" ht="15" hidden="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2" width="2.200000047683716" hidden="0" customWidth="1"/>
    <x:col min="3" max="3" width="9" hidden="0" customWidth="1"/>
    <x:col min="4" max="11" width="15" hidden="0" customWidth="1"/>
    <x:col min="12" max="12" width="14" hidden="0" customWidth="1"/>
    <x:col min="13" max="13" width="12" hidden="0" customWidth="1"/>
    <x:col min="14" max="14" width="11" hidden="0" customWidth="1"/>
  </x:cols>
  <x:sheetData>
    <x:row r="1" ht="15" hidden="0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5.5" hidden="0" customHeight="1">
      <x:c r="A2" s="1"/>
      <x:c r="B2" s="1"/>
      <x:c r="C2" s="2" t="s">
        <x:v>136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15" hidden="0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15" hidden="0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15" hidden="0">
      <x:c r="A5" s="1"/>
      <x:c r="B5" s="1"/>
      <x:c r="C5" s="1" t="s">
        <x:v>1</x:v>
      </x:c>
      <x:c r="D5" s="4" t="e">
        <x:f aca="0">Предпосылки!$D$4</x:f>
        <x:v>#NAME?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15" hidden="0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7.75" hidden="0" customHeight="1">
      <x:c r="A7" s="1"/>
      <x:c r="B7" s="1"/>
      <x:c r="C7" s="18" t="s">
        <x:v>15</x:v>
      </x:c>
      <x:c r="D7" s="19" t="s">
        <x:v>137</x:v>
      </x:c>
      <x:c r="E7" s="19" t="s">
        <x:v>138</x:v>
      </x:c>
      <x:c r="F7" s="19" t="s">
        <x:v>126</x:v>
      </x:c>
      <x:c r="G7" s="19" t="s">
        <x:v>139</x:v>
      </x:c>
      <x:c r="H7" s="19" t="s">
        <x:v>140</x:v>
      </x:c>
      <x:c r="I7" s="19" t="s">
        <x:v>141</x:v>
      </x:c>
      <x:c r="J7" s="19" t="s">
        <x:v>142</x:v>
      </x:c>
      <x:c r="K7" s="19" t="s">
        <x:v>143</x:v>
      </x:c>
      <x:c r="L7" s="19" t="s">
        <x:v>144</x:v>
      </x:c>
      <x:c r="M7" s="19" t="str">
        <x:v>Срок реализации запаса, лет</x:v>
      </x:c>
      <x:c r="N7" s="83" t="s">
        <x:v>31</x:v>
      </x:c>
    </x:row>
    <x:row r="8" ht="15" hidden="0">
      <x:c r="A8" s="1"/>
      <x:c r="B8" s="1"/>
      <x:c r="C8" s="84" t="e">
        <x:f aca="0">'Модель спроса'!C8</x:f>
        <x:v>#NAME?</x:v>
      </x:c>
      <x:c r="D8" s="85" t="e">
        <x:f aca="0">Предпосылки!$D$12</x:f>
        <x:v>#NAME?</x:v>
      </x:c>
      <x:c r="E8" s="86" t="e">
        <x:f aca="0">Предпосылки!D$42</x:f>
        <x:v>#NAME?</x:v>
      </x:c>
      <x:c r="F8" s="86" t="e">
        <x:f aca="0">'Модель спроса'!Q8</x:f>
        <x:v>#NAME?</x:v>
      </x:c>
      <x:c r="G8" s="85" t="e">
        <x:f aca="0">F8-E8</x:f>
        <x:v>#NAME?</x:v>
      </x:c>
      <x:c r="H8" s="85" t="e">
        <x:f aca="0">D8+E8-F8</x:f>
        <x:v>#NAME?</x:v>
      </x:c>
      <x:c r="I8" s="85" t="e">
        <x:f aca="0">Предпосылки!$D$12</x:f>
        <x:v>#NAME?</x:v>
      </x:c>
      <x:c r="J8" s="86" t="e">
        <x:f aca="0">Предпосылки!D$47</x:f>
        <x:v>#NAME?</x:v>
      </x:c>
      <x:c r="K8" s="85" t="e">
        <x:f aca="0">MAX(Предпосылки!$D$18,I8-J8)</x:f>
        <x:v>#NAME?</x:v>
      </x:c>
      <x:c r="L8" s="85" t="e">
        <x:f aca="0">MAX(0,F8-J8)</x:f>
        <x:v>#NAME?</x:v>
      </x:c>
      <x:c r="M8" s="85" t="e">
        <x:f aca="0">H8/F8</x:f>
        <x:v>#NAME?</x:v>
      </x:c>
      <x:c r="N8" s="87" t="s">
        <x:v>145</x:v>
      </x:c>
    </x:row>
    <x:row r="9" ht="15" hidden="0">
      <x:c r="A9" s="1"/>
      <x:c r="B9" s="1"/>
      <x:c r="C9" s="88" t="e">
        <x:f aca="0">'Модель спроса'!C9</x:f>
        <x:v>#NAME?</x:v>
      </x:c>
      <x:c r="D9" s="89" t="e">
        <x:f aca="0">H8</x:f>
        <x:v>#NAME?</x:v>
      </x:c>
      <x:c r="E9" s="90" t="e">
        <x:f aca="0">Предпосылки!E$42</x:f>
        <x:v>#NAME?</x:v>
      </x:c>
      <x:c r="F9" s="90" t="e">
        <x:f aca="0">'Модель спроса'!Q9</x:f>
        <x:v>#NAME?</x:v>
      </x:c>
      <x:c r="G9" s="89" t="e">
        <x:f aca="0">F9-E9</x:f>
        <x:v>#NAME?</x:v>
      </x:c>
      <x:c r="H9" s="89" t="e">
        <x:f aca="0">D9+E9-F9</x:f>
        <x:v>#NAME?</x:v>
      </x:c>
      <x:c r="I9" s="89" t="e">
        <x:f aca="0">K8</x:f>
        <x:v>#NAME?</x:v>
      </x:c>
      <x:c r="J9" s="90" t="e">
        <x:f aca="0">Предпосылки!E$47</x:f>
        <x:v>#NAME?</x:v>
      </x:c>
      <x:c r="K9" s="89" t="e">
        <x:f aca="0">MAX(Предпосылки!$D$18,I9-J9)</x:f>
        <x:v>#NAME?</x:v>
      </x:c>
      <x:c r="L9" s="89" t="e">
        <x:f aca="0">MAX(0,F9-J9)</x:f>
        <x:v>#NAME?</x:v>
      </x:c>
      <x:c r="M9" s="89" t="e">
        <x:f aca="0">H9/F9</x:f>
        <x:v>#NAME?</x:v>
      </x:c>
      <x:c r="N9" s="91" t="s">
        <x:v>145</x:v>
      </x:c>
    </x:row>
    <x:row r="10" ht="15" hidden="0">
      <x:c r="A10" s="1"/>
      <x:c r="B10" s="1"/>
      <x:c r="C10" s="88" t="e">
        <x:f aca="0">'Модель спроса'!C10</x:f>
        <x:v>#NAME?</x:v>
      </x:c>
      <x:c r="D10" s="89" t="e">
        <x:f aca="0">H9</x:f>
        <x:v>#NAME?</x:v>
      </x:c>
      <x:c r="E10" s="90" t="e">
        <x:f aca="0">Предпосылки!F$42</x:f>
        <x:v>#NAME?</x:v>
      </x:c>
      <x:c r="F10" s="90" t="e">
        <x:f aca="0">'Модель спроса'!Q10</x:f>
        <x:v>#NAME?</x:v>
      </x:c>
      <x:c r="G10" s="89" t="e">
        <x:f aca="0">F10-E10</x:f>
        <x:v>#NAME?</x:v>
      </x:c>
      <x:c r="H10" s="89" t="e">
        <x:f aca="0">D10+E10-F10</x:f>
        <x:v>#NAME?</x:v>
      </x:c>
      <x:c r="I10" s="89" t="e">
        <x:f aca="0">K9</x:f>
        <x:v>#NAME?</x:v>
      </x:c>
      <x:c r="J10" s="90" t="e">
        <x:f aca="0">Предпосылки!F$47</x:f>
        <x:v>#NAME?</x:v>
      </x:c>
      <x:c r="K10" s="89" t="e">
        <x:f aca="0">MAX(Предпосылки!$D$18,I10-J10)</x:f>
        <x:v>#NAME?</x:v>
      </x:c>
      <x:c r="L10" s="89" t="e">
        <x:f aca="0">MAX(0,F10-J10)</x:f>
        <x:v>#NAME?</x:v>
      </x:c>
      <x:c r="M10" s="89" t="e">
        <x:f aca="0">H10/F10</x:f>
        <x:v>#NAME?</x:v>
      </x:c>
      <x:c r="N10" s="91" t="s">
        <x:v>145</x:v>
      </x:c>
    </x:row>
    <x:row r="11" ht="15" hidden="0">
      <x:c r="A11" s="1"/>
      <x:c r="B11" s="1"/>
      <x:c r="C11" s="88" t="e">
        <x:f aca="0">'Модель спроса'!C11</x:f>
        <x:v>#NAME?</x:v>
      </x:c>
      <x:c r="D11" s="89" t="e">
        <x:f aca="0">H10</x:f>
        <x:v>#NAME?</x:v>
      </x:c>
      <x:c r="E11" s="90" t="e">
        <x:f aca="0">Предпосылки!G$42</x:f>
        <x:v>#NAME?</x:v>
      </x:c>
      <x:c r="F11" s="90" t="e">
        <x:f aca="0">'Модель спроса'!Q11</x:f>
        <x:v>#NAME?</x:v>
      </x:c>
      <x:c r="G11" s="89" t="e">
        <x:f aca="0">F11-E11</x:f>
        <x:v>#NAME?</x:v>
      </x:c>
      <x:c r="H11" s="89" t="e">
        <x:f aca="0">D11+E11-F11</x:f>
        <x:v>#NAME?</x:v>
      </x:c>
      <x:c r="I11" s="89" t="e">
        <x:f aca="0">K10</x:f>
        <x:v>#NAME?</x:v>
      </x:c>
      <x:c r="J11" s="90" t="e">
        <x:f aca="0">Предпосылки!G$47</x:f>
        <x:v>#NAME?</x:v>
      </x:c>
      <x:c r="K11" s="89" t="e">
        <x:f aca="0">MAX(Предпосылки!$D$18,I11-J11)</x:f>
        <x:v>#NAME?</x:v>
      </x:c>
      <x:c r="L11" s="89" t="e">
        <x:f aca="0">MAX(0,F11-J11)</x:f>
        <x:v>#NAME?</x:v>
      </x:c>
      <x:c r="M11" s="89" t="e">
        <x:f aca="0">H11/F11</x:f>
        <x:v>#NAME?</x:v>
      </x:c>
      <x:c r="N11" s="91" t="s">
        <x:v>145</x:v>
      </x:c>
    </x:row>
    <x:row r="12" ht="15" hidden="0">
      <x:c r="A12" s="1"/>
      <x:c r="B12" s="1"/>
      <x:c r="C12" s="88" t="e">
        <x:f aca="0">'Модель спроса'!C12</x:f>
        <x:v>#NAME?</x:v>
      </x:c>
      <x:c r="D12" s="89" t="e">
        <x:f aca="0">H11</x:f>
        <x:v>#NAME?</x:v>
      </x:c>
      <x:c r="E12" s="90" t="e">
        <x:f aca="0">Предпосылки!H$42</x:f>
        <x:v>#NAME?</x:v>
      </x:c>
      <x:c r="F12" s="90" t="e">
        <x:f aca="0">'Модель спроса'!Q12</x:f>
        <x:v>#NAME?</x:v>
      </x:c>
      <x:c r="G12" s="89" t="e">
        <x:f aca="0">F12-E12</x:f>
        <x:v>#NAME?</x:v>
      </x:c>
      <x:c r="H12" s="89" t="e">
        <x:f aca="0">D12+E12-F12</x:f>
        <x:v>#NAME?</x:v>
      </x:c>
      <x:c r="I12" s="89" t="e">
        <x:f aca="0">K11</x:f>
        <x:v>#NAME?</x:v>
      </x:c>
      <x:c r="J12" s="90" t="e">
        <x:f aca="0">Предпосылки!H$47</x:f>
        <x:v>#NAME?</x:v>
      </x:c>
      <x:c r="K12" s="89" t="e">
        <x:f aca="0">MAX(Предпосылки!$D$18,I12-J12)</x:f>
        <x:v>#NAME?</x:v>
      </x:c>
      <x:c r="L12" s="89" t="e">
        <x:f aca="0">MAX(0,F12-J12)</x:f>
        <x:v>#NAME?</x:v>
      </x:c>
      <x:c r="M12" s="89" t="e">
        <x:f aca="0">H12/F12</x:f>
        <x:v>#NAME?</x:v>
      </x:c>
      <x:c r="N12" s="91" t="s">
        <x:v>145</x:v>
      </x:c>
    </x:row>
    <x:row r="13" ht="15" hidden="0">
      <x:c r="A13" s="1"/>
      <x:c r="B13" s="1"/>
      <x:c r="C13" s="88" t="e">
        <x:f aca="0">'Модель спроса'!C13</x:f>
        <x:v>#NAME?</x:v>
      </x:c>
      <x:c r="D13" s="89" t="e">
        <x:f aca="0">H12</x:f>
        <x:v>#NAME?</x:v>
      </x:c>
      <x:c r="E13" s="90" t="e">
        <x:f aca="0">Предпосылки!I$42</x:f>
        <x:v>#NAME?</x:v>
      </x:c>
      <x:c r="F13" s="90" t="e">
        <x:f aca="0">'Модель спроса'!Q13</x:f>
        <x:v>#NAME?</x:v>
      </x:c>
      <x:c r="G13" s="89" t="e">
        <x:f aca="0">F13-E13</x:f>
        <x:v>#NAME?</x:v>
      </x:c>
      <x:c r="H13" s="89" t="e">
        <x:f aca="0">D13+E13-F13</x:f>
        <x:v>#NAME?</x:v>
      </x:c>
      <x:c r="I13" s="89" t="e">
        <x:f aca="0">K12</x:f>
        <x:v>#NAME?</x:v>
      </x:c>
      <x:c r="J13" s="90" t="e">
        <x:f aca="0">Предпосылки!I$47</x:f>
        <x:v>#NAME?</x:v>
      </x:c>
      <x:c r="K13" s="89" t="e">
        <x:f aca="0">MAX(Предпосылки!$D$18,I13-J13)</x:f>
        <x:v>#NAME?</x:v>
      </x:c>
      <x:c r="L13" s="89" t="e">
        <x:f aca="0">MAX(0,F13-J13)</x:f>
        <x:v>#NAME?</x:v>
      </x:c>
      <x:c r="M13" s="89" t="e">
        <x:f aca="0">H13/F13</x:f>
        <x:v>#NAME?</x:v>
      </x:c>
      <x:c r="N13" s="91" t="s">
        <x:v>145</x:v>
      </x:c>
    </x:row>
    <x:row r="14" ht="15" hidden="0">
      <x:c r="A14" s="1"/>
      <x:c r="B14" s="1"/>
      <x:c r="C14" s="88" t="e">
        <x:f aca="0">'Модель спроса'!C14</x:f>
        <x:v>#NAME?</x:v>
      </x:c>
      <x:c r="D14" s="89" t="e">
        <x:f aca="0">H13</x:f>
        <x:v>#NAME?</x:v>
      </x:c>
      <x:c r="E14" s="90" t="e">
        <x:f aca="0">Предпосылки!J$42</x:f>
        <x:v>#NAME?</x:v>
      </x:c>
      <x:c r="F14" s="90" t="e">
        <x:f aca="0">'Модель спроса'!Q14</x:f>
        <x:v>#NAME?</x:v>
      </x:c>
      <x:c r="G14" s="89" t="e">
        <x:f aca="0">F14-E14</x:f>
        <x:v>#NAME?</x:v>
      </x:c>
      <x:c r="H14" s="89" t="e">
        <x:f aca="0">D14+E14-F14</x:f>
        <x:v>#NAME?</x:v>
      </x:c>
      <x:c r="I14" s="89" t="e">
        <x:f aca="0">K13</x:f>
        <x:v>#NAME?</x:v>
      </x:c>
      <x:c r="J14" s="90" t="e">
        <x:f aca="0">Предпосылки!J$47</x:f>
        <x:v>#NAME?</x:v>
      </x:c>
      <x:c r="K14" s="89" t="e">
        <x:f aca="0">MAX(Предпосылки!$D$18,I14-J14)</x:f>
        <x:v>#NAME?</x:v>
      </x:c>
      <x:c r="L14" s="89" t="e">
        <x:f aca="0">MAX(0,F14-J14)</x:f>
        <x:v>#NAME?</x:v>
      </x:c>
      <x:c r="M14" s="89" t="e">
        <x:f aca="0">H14/F14</x:f>
        <x:v>#NAME?</x:v>
      </x:c>
      <x:c r="N14" s="91" t="s">
        <x:v>145</x:v>
      </x:c>
    </x:row>
    <x:row r="15" ht="15" hidden="0">
      <x:c r="A15" s="1"/>
      <x:c r="B15" s="1"/>
      <x:c r="C15" s="88" t="e">
        <x:f aca="0">'Модель спроса'!C15</x:f>
        <x:v>#NAME?</x:v>
      </x:c>
      <x:c r="D15" s="89" t="e">
        <x:f aca="0">H14</x:f>
        <x:v>#NAME?</x:v>
      </x:c>
      <x:c r="E15" s="90" t="e">
        <x:f aca="0">Предпосылки!K$42</x:f>
        <x:v>#NAME?</x:v>
      </x:c>
      <x:c r="F15" s="90" t="e">
        <x:f aca="0">'Модель спроса'!Q15</x:f>
        <x:v>#NAME?</x:v>
      </x:c>
      <x:c r="G15" s="89" t="e">
        <x:f aca="0">F15-E15</x:f>
        <x:v>#NAME?</x:v>
      </x:c>
      <x:c r="H15" s="89" t="e">
        <x:f aca="0">D15+E15-F15</x:f>
        <x:v>#NAME?</x:v>
      </x:c>
      <x:c r="I15" s="89" t="e">
        <x:f aca="0">K14</x:f>
        <x:v>#NAME?</x:v>
      </x:c>
      <x:c r="J15" s="90" t="e">
        <x:f aca="0">Предпосылки!K$47</x:f>
        <x:v>#NAME?</x:v>
      </x:c>
      <x:c r="K15" s="89" t="e">
        <x:f aca="0">MAX(Предпосылки!$D$18,I15-J15)</x:f>
        <x:v>#NAME?</x:v>
      </x:c>
      <x:c r="L15" s="89" t="e">
        <x:f aca="0">MAX(0,F15-J15)</x:f>
        <x:v>#NAME?</x:v>
      </x:c>
      <x:c r="M15" s="89" t="e">
        <x:f aca="0">H15/F15</x:f>
        <x:v>#NAME?</x:v>
      </x:c>
      <x:c r="N15" s="91" t="s">
        <x:v>145</x:v>
      </x:c>
    </x:row>
    <x:row r="16" ht="15" hidden="0">
      <x:c r="A16" s="1"/>
      <x:c r="B16" s="1"/>
      <x:c r="C16" s="88" t="e">
        <x:f aca="0">'Модель спроса'!C16</x:f>
        <x:v>#NAME?</x:v>
      </x:c>
      <x:c r="D16" s="89" t="e">
        <x:f aca="0">H15</x:f>
        <x:v>#NAME?</x:v>
      </x:c>
      <x:c r="E16" s="90" t="e">
        <x:f aca="0">Предпосылки!L$42</x:f>
        <x:v>#NAME?</x:v>
      </x:c>
      <x:c r="F16" s="90" t="e">
        <x:f aca="0">'Модель спроса'!Q16</x:f>
        <x:v>#NAME?</x:v>
      </x:c>
      <x:c r="G16" s="89" t="e">
        <x:f aca="0">F16-E16</x:f>
        <x:v>#NAME?</x:v>
      </x:c>
      <x:c r="H16" s="89" t="e">
        <x:f aca="0">D16+E16-F16</x:f>
        <x:v>#NAME?</x:v>
      </x:c>
      <x:c r="I16" s="89" t="e">
        <x:f aca="0">K15</x:f>
        <x:v>#NAME?</x:v>
      </x:c>
      <x:c r="J16" s="90" t="e">
        <x:f aca="0">Предпосылки!L$47</x:f>
        <x:v>#NAME?</x:v>
      </x:c>
      <x:c r="K16" s="89" t="e">
        <x:f aca="0">MAX(Предпосылки!$D$18,I16-J16)</x:f>
        <x:v>#NAME?</x:v>
      </x:c>
      <x:c r="L16" s="89" t="e">
        <x:f aca="0">MAX(0,F16-J16)</x:f>
        <x:v>#NAME?</x:v>
      </x:c>
      <x:c r="M16" s="89" t="e">
        <x:f aca="0">H16/F16</x:f>
        <x:v>#NAME?</x:v>
      </x:c>
      <x:c r="N16" s="91" t="s">
        <x:v>145</x:v>
      </x:c>
    </x:row>
    <x:row r="17" ht="15" hidden="0">
      <x:c r="A17" s="1"/>
      <x:c r="B17" s="1"/>
      <x:c r="C17" s="92" t="e">
        <x:f aca="0">'Модель спроса'!C17</x:f>
        <x:v>#NAME?</x:v>
      </x:c>
      <x:c r="D17" s="93" t="e">
        <x:f aca="0">H16</x:f>
        <x:v>#NAME?</x:v>
      </x:c>
      <x:c r="E17" s="94" t="e">
        <x:f aca="0">Предпосылки!M$42</x:f>
        <x:v>#NAME?</x:v>
      </x:c>
      <x:c r="F17" s="94" t="e">
        <x:f aca="0">'Модель спроса'!Q17</x:f>
        <x:v>#NAME?</x:v>
      </x:c>
      <x:c r="G17" s="93" t="e">
        <x:f aca="0">F17-E17</x:f>
        <x:v>#NAME?</x:v>
      </x:c>
      <x:c r="H17" s="93" t="e">
        <x:f aca="0">D17+E17-F17</x:f>
        <x:v>#NAME?</x:v>
      </x:c>
      <x:c r="I17" s="93" t="e">
        <x:f aca="0">K16</x:f>
        <x:v>#NAME?</x:v>
      </x:c>
      <x:c r="J17" s="94" t="e">
        <x:f aca="0">Предпосылки!M$47</x:f>
        <x:v>#NAME?</x:v>
      </x:c>
      <x:c r="K17" s="93" t="e">
        <x:f aca="0">MAX(Предпосылки!$D$18,I17-J17)</x:f>
        <x:v>#NAME?</x:v>
      </x:c>
      <x:c r="L17" s="93" t="e">
        <x:f aca="0">MAX(0,F17-J17)</x:f>
        <x:v>#NAME?</x:v>
      </x:c>
      <x:c r="M17" s="93" t="e">
        <x:f aca="0">H17/F17</x:f>
        <x:v>#NAME?</x:v>
      </x:c>
      <x:c r="N17" s="95" t="s">
        <x:v>145</x:v>
      </x:c>
    </x:row>
    <x:row r="18" ht="15" hidden="0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15" hidden="0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 ht="64.1500015258789" hidden="0">
      <x:c r="A20" s="1"/>
      <x:c r="B20" s="1"/>
      <x:c r="C20" s="30" t="s">
        <x:v>146</x:v>
      </x:c>
      <x:c r="D20" s="27" t="s">
        <x:v>147</x:v>
      </x:c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85.05000305175781" hidden="0">
      <x:c r="A21" s="1"/>
      <x:c r="B21" s="1"/>
      <x:c r="C21" s="30" t="str">
        <x:v>Остаточный спрос</x:v>
      </x:c>
      <x:c r="D21" s="27" t="s">
        <x:v>148</x:v>
      </x:c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 ht="85.05000305175781" hidden="0">
      <x:c r="A22" s="1"/>
      <x:c r="B22" s="1"/>
      <x:c r="C22" s="30" t="s">
        <x:v>149</x:v>
      </x:c>
      <x:c r="D22" s="27" t="s">
        <x:v>150</x:v>
      </x:c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95.5" hidden="0">
      <x:c r="A23" s="1"/>
      <x:c r="B23" s="1"/>
      <x:c r="C23" s="30" t="s">
        <x:v>151</x:v>
      </x:c>
      <x:c r="D23" s="27" t="str">
        <x:v>Срок реализации запаса × 12. Пороговый диапазон 2,5–3,7 года отражает национальную калибровку и требует региональной проверки.</x:v>
      </x:c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15" hidden="0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15" hidden="0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15" hidden="0">
      <x:c r="A26" s="1"/>
      <x:c r="B26" s="1"/>
      <x:c r="C26" s="51" t="s">
        <x:v>152</x:v>
      </x:c>
      <x:c r="D26" s="52"/>
      <x:c r="E26" s="52"/>
      <x:c r="F26" s="52"/>
      <x:c r="G26" s="52"/>
      <x:c r="H26" s="1"/>
      <x:c r="I26" s="1"/>
      <x:c r="J26" s="1"/>
      <x:c r="K26" s="1"/>
      <x:c r="L26" s="1"/>
      <x:c r="M26" s="1"/>
      <x:c r="N26" s="1"/>
    </x:row>
    <x:row r="27" ht="15" hidden="0">
      <x:c r="A27" s="1"/>
      <x:c r="B27" s="1"/>
      <x:c r="C27" s="51" t="s">
        <x:v>15</x:v>
      </x:c>
      <x:c r="D27" s="51" t="s">
        <x:v>140</x:v>
      </x:c>
      <x:c r="E27" s="51" t="s">
        <x:v>31</x:v>
      </x:c>
      <x:c r="F27" s="1"/>
      <x:c r="G27" s="1"/>
      <x:c r="H27" s="1"/>
      <x:c r="I27" s="1"/>
      <x:c r="J27" s="1"/>
      <x:c r="K27" s="1"/>
      <x:c r="L27" s="1"/>
      <x:c r="M27" s="1"/>
      <x:c r="N27" s="1"/>
    </x:row>
    <x:row r="28" ht="15" hidden="0">
      <x:c r="A28" s="1"/>
      <x:c r="B28" s="1"/>
      <x:c r="C28" s="96" t="n">
        <x:v>2022</x:v>
      </x:c>
      <x:c r="D28" s="97" t="n">
        <x:v>59.8</x:v>
      </x:c>
      <x:c r="E28" s="98" t="s">
        <x:v>153</x:v>
      </x:c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15" hidden="0">
      <x:c r="A29" s="1"/>
      <x:c r="B29" s="1"/>
      <x:c r="C29" s="96" t="n">
        <x:v>2023</x:v>
      </x:c>
      <x:c r="D29" s="97" t="n">
        <x:v>71.1</x:v>
      </x:c>
      <x:c r="E29" s="98" t="s">
        <x:v>153</x:v>
      </x:c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15" hidden="0">
      <x:c r="A30" s="1"/>
      <x:c r="B30" s="1"/>
      <x:c r="C30" s="96" t="n">
        <x:v>2024</x:v>
      </x:c>
      <x:c r="D30" s="97" t="n">
        <x:v>76.9</x:v>
      </x:c>
      <x:c r="E30" s="98" t="s">
        <x:v>153</x:v>
      </x:c>
      <x:c r="F30" s="1"/>
      <x:c r="G30" s="1"/>
      <x:c r="H30" s="1"/>
      <x:c r="I30" s="1"/>
      <x:c r="J30" s="1"/>
      <x:c r="K30" s="1"/>
      <x:c r="L30" s="1"/>
      <x:c r="M30" s="1"/>
      <x:c r="N30" s="1"/>
    </x:row>
    <x:row r="31" ht="15" hidden="0">
      <x:c r="A31" s="1"/>
      <x:c r="B31" s="1"/>
      <x:c r="C31" s="96" t="n">
        <x:v>2025</x:v>
      </x:c>
      <x:c r="D31" s="97" t="n">
        <x:v>80</x:v>
      </x:c>
      <x:c r="E31" s="98" t="s">
        <x:v>153</x:v>
      </x:c>
      <x:c r="F31" s="1"/>
      <x:c r="G31" s="1"/>
      <x:c r="H31" s="1"/>
      <x:c r="I31" s="1"/>
      <x:c r="J31" s="1"/>
      <x:c r="K31" s="1"/>
      <x:c r="L31" s="1"/>
      <x:c r="M31" s="1"/>
      <x:c r="N31" s="1"/>
    </x:row>
    <x:row r="32" ht="15" hidden="0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 ht="45" hidden="0" customHeight="1">
      <x:c r="A33" s="1"/>
      <x:c r="B33" s="1"/>
      <x:c r="C33" s="53" t="s">
        <x:v>154</x:v>
      </x:c>
      <x:c r="D33" s="64" t="s">
        <x:v>155</x:v>
      </x:c>
      <x:c r="E33" s="64"/>
      <x:c r="F33" s="64"/>
      <x:c r="G33" s="64"/>
      <x:c r="H33" s="64"/>
      <x:c r="I33" s="1"/>
      <x:c r="J33" s="1"/>
      <x:c r="K33" s="1"/>
      <x:c r="L33" s="1"/>
      <x:c r="M33" s="1"/>
      <x:c r="N33" s="1"/>
    </x:row>
    <x:row r="34" ht="15" hidden="0">
      <x:c r="A34" s="1"/>
      <x:c r="B34" s="1"/>
      <x:c r="C34" s="54" t="s">
        <x:v>156</x:v>
      </x:c>
      <x:c r="D34" s="54" t="e">
        <x:f aca="0">IF(ROUND(D31-D8,1)=0,"OK: факт 2025 = вход прогноза 2026","РАСХОЖДЕНИЕ")</x:f>
        <x:v>#VALUE!</x:v>
      </x:c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 ht="15" hidden="0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7" ht="15" hidden="0">
      <x:c r="C37" s="99" t="s">
        <x:v>157</x:v>
      </x:c>
      <x:c r="D37" s="100"/>
      <x:c r="E37" s="100"/>
      <x:c r="F37" s="100"/>
      <x:c r="G37" s="100"/>
    </x:row>
    <x:row r="38" ht="15" hidden="0">
      <x:c r="C38" s="99" t="s">
        <x:v>158</x:v>
      </x:c>
      <x:c r="D38" s="99" t="s">
        <x:v>159</x:v>
      </x:c>
      <x:c r="E38" s="99" t="s">
        <x:v>160</x:v>
      </x:c>
      <x:c r="F38" s="99" t="s">
        <x:v>161</x:v>
      </x:c>
      <x:c r="G38" s="99" t="s">
        <x:v>162</x:v>
      </x:c>
    </x:row>
    <x:row r="39" ht="15" hidden="0">
      <x:c r="C39" s="101" t="s">
        <x:v>163</x:v>
      </x:c>
      <x:c r="D39" s="102" t="n">
        <x:v>83.1</x:v>
      </x:c>
      <x:c r="E39" s="103" t="e">
        <x:f aca="0">Предпосылки!$F$94</x:f>
        <x:v>#NAME?</x:v>
      </x:c>
      <x:c r="F39" s="103" t="e">
        <x:f aca="0">D39/E39*12</x:f>
        <x:v>#NAME?</x:v>
      </x:c>
      <x:c r="G39" s="104" t="s">
        <x:v>164</x:v>
      </x:c>
    </x:row>
    <x:row r="40" ht="15" hidden="0">
      <x:c r="C40" s="101" t="s">
        <x:v>165</x:v>
      </x:c>
      <x:c r="D40" s="102" t="n">
        <x:v>83.1</x:v>
      </x:c>
      <x:c r="E40" s="103" t="e">
        <x:f aca="0">Предпосылки!$D$94</x:f>
        <x:v>#NAME?</x:v>
      </x:c>
      <x:c r="F40" s="103" t="e">
        <x:f aca="0">D40/E40*12</x:f>
        <x:v>#NAME?</x:v>
      </x:c>
      <x:c r="G40" s="104" t="s">
        <x:v>166</x:v>
      </x:c>
    </x:row>
    <x:row r="41" ht="54.75" hidden="0" customHeight="1">
      <x:c r="C41" s="101" t="s">
        <x:v>167</x:v>
      </x:c>
      <x:c r="D41" s="104" t="s">
        <x:v>168</x:v>
      </x:c>
      <x:c r="E41" s="104" t="s">
        <x:v>169</x:v>
      </x:c>
      <x:c r="F41" s="105" t="s">
        <x:v>170</x:v>
      </x:c>
      <x:c r="G41" s="64" t="s">
        <x:v>171</x:v>
      </x:c>
      <x:c r="H41" s="64"/>
      <x:c r="I41" s="64"/>
      <x:c r="J41" s="64"/>
      <x:c r="K41" s="64"/>
      <x:c r="L41" s="64"/>
    </x:row>
  </x:sheetData>
  <x:mergeCells>
    <x:mergeCell ref="D33:H33"/>
    <x:mergeCell ref="G41:L41"/>
  </x:mergeCells>
  <x:conditionalFormatting sqref="N8:N17">
    <x:cfRule type="containsText" dxfId="0" priority="2" aboveAverage="0" percent="0" bottom="0" operator="containsText" text="GREEN" rank="0" equalAverage="0">
      <x:formula>NOT(ISERROR(SEARCH("GREEN",N8)))</x:formula>
    </x:cfRule>
    <x:cfRule type="containsText" dxfId="1" priority="3" aboveAverage="0" percent="0" bottom="0" operator="containsText" text="YELLOW" rank="0" equalAverage="0">
      <x:formula>NOT(ISERROR(SEARCH("YELLOW",N8)))</x:formula>
    </x:cfRule>
    <x:cfRule type="containsText" dxfId="2" priority="4" aboveAverage="0" percent="0" bottom="0" operator="containsText" text="RED" rank="0" equalAverage="0">
      <x:formula>NOT(ISERROR(SEARCH("RED",N8)))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2" width="2.200000047683716" hidden="0" customWidth="1"/>
    <x:col min="3" max="3" width="15" hidden="0" customWidth="1"/>
    <x:col min="4" max="4" width="17" hidden="0" customWidth="1"/>
    <x:col min="5" max="5" width="15" hidden="0" customWidth="1"/>
    <x:col min="6" max="9" width="17" hidden="0" customWidth="1"/>
    <x:col min="10" max="10" width="11" hidden="0" customWidth="1"/>
    <x:col min="11" max="11" width="3" hidden="0" customWidth="1"/>
    <x:col min="12" max="14" width="13" hidden="0" customWidth="1"/>
  </x:cols>
  <x:sheetData>
    <x:row r="1" ht="15" hidden="0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5.5" hidden="0" customHeight="1">
      <x:c r="A2" s="1"/>
      <x:c r="B2" s="1"/>
      <x:c r="C2" s="2" t="s">
        <x:v>172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15" hidden="0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15" hidden="0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27.75" hidden="0" customHeight="1">
      <x:c r="A5" s="1"/>
      <x:c r="B5" s="1"/>
      <x:c r="C5" s="18" t="s">
        <x:v>28</x:v>
      </x:c>
      <x:c r="D5" s="20" t="s">
        <x:v>29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15" hidden="0">
      <x:c r="A6" s="1"/>
      <x:c r="B6" s="1"/>
      <x:c r="C6" s="1" t="s">
        <x:v>173</x:v>
      </x:c>
      <x:c r="D6" s="106" t="e">
        <x:f aca="0">Предпосылки!$D$10</x:f>
        <x:v>#NAME?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15" hidden="0">
      <x:c r="A7" s="1"/>
      <x:c r="B7" s="1"/>
      <x:c r="C7" s="1" t="s">
        <x:v>128</x:v>
      </x:c>
      <x:c r="D7" s="107" t="e">
        <x:f aca="0">Предпосылки!$D$11</x:f>
        <x:v>#NAME?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15" hidden="0">
      <x:c r="A8" s="1"/>
      <x:c r="B8" s="1"/>
      <x:c r="C8" s="1" t="s">
        <x:v>49</x:v>
      </x:c>
      <x:c r="D8" s="108" t="e">
        <x:f aca="0">Предпосылки!$D$16</x:f>
        <x:v>#NAME?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15" hidden="0">
      <x:c r="A9" s="1"/>
      <x:c r="B9" s="1"/>
      <x:c r="C9" s="1" t="s">
        <x:v>174</x:v>
      </x:c>
      <x:c r="D9" s="109" t="e">
        <x:f aca="0">Предпосылки!$D$17</x:f>
        <x:v>#NAME?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15" hidden="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 ht="15" hidden="0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 ht="27.75" hidden="0" customHeight="1">
      <x:c r="A12" s="1"/>
      <x:c r="B12" s="1"/>
      <x:c r="C12" s="18" t="s">
        <x:v>175</x:v>
      </x:c>
      <x:c r="D12" s="19" t="s">
        <x:v>176</x:v>
      </x:c>
      <x:c r="E12" s="19" t="s">
        <x:v>177</x:v>
      </x:c>
      <x:c r="F12" s="19" t="s">
        <x:v>178</x:v>
      </x:c>
      <x:c r="G12" s="19" t="s">
        <x:v>179</x:v>
      </x:c>
      <x:c r="H12" s="19" t="s">
        <x:v>180</x:v>
      </x:c>
      <x:c r="I12" s="19"/>
      <x:c r="J12" s="20" t="s">
        <x:v>181</x:v>
      </x:c>
      <x:c r="K12" s="1"/>
      <x:c r="L12" s="53"/>
      <x:c r="M12" s="1"/>
      <x:c r="N12" s="1"/>
    </x:row>
    <x:row r="13" ht="15" hidden="0">
      <x:c r="A13" s="1"/>
      <x:c r="B13" s="1"/>
      <x:c r="C13" s="110" t="n">
        <x:v>0.06</x:v>
      </x:c>
      <x:c r="D13" s="68" t="e">
        <x:f aca="0">$D$6*$D$7/1000000</x:f>
        <x:v>#NAME?</x:v>
      </x:c>
      <x:c r="E13" s="68" t="e">
        <x:f aca="0">D13*(1-$D$8)</x:f>
        <x:v>#NAME?</x:v>
      </x:c>
      <x:c r="F13" s="21" t="e">
        <x:f aca="0">-PMT(C13/12,$D$9*12,E13*1000000)/1000</x:f>
        <x:v>#VALUE!</x:v>
      </x:c>
      <x:c r="G13" s="111" t="e">
        <x:f aca="0">F13*1000/Предпосылки!$D$13</x:f>
        <x:v>#NAME?</x:v>
      </x:c>
      <x:c r="H13" s="111" t="e">
        <x:f aca="0">F13*1000/Предпосылки!$D$14</x:f>
        <x:v>#NAME?</x:v>
      </x:c>
      <x:c r="I13" s="111"/>
      <x:c r="J13" s="5" t="e">
        <x:f aca="0">IF(G13&lt;=0.45,"GREEN",IF(G13&lt;=0.6,"YELLOW","RED"))</x:f>
        <x:v>#NAME?</x:v>
      </x:c>
      <x:c r="K13" s="1"/>
      <x:c r="L13" s="58"/>
      <x:c r="M13" s="1"/>
      <x:c r="N13" s="1"/>
    </x:row>
    <x:row r="14" ht="15" hidden="0">
      <x:c r="A14" s="1"/>
      <x:c r="B14" s="1"/>
      <x:c r="C14" s="41" t="n">
        <x:v>0.1</x:v>
      </x:c>
      <x:c r="D14" s="74" t="e">
        <x:f aca="0">$D$6*$D$7/1000000</x:f>
        <x:v>#NAME?</x:v>
      </x:c>
      <x:c r="E14" s="74" t="e">
        <x:f aca="0">D14*(1-$D$8)</x:f>
        <x:v>#NAME?</x:v>
      </x:c>
      <x:c r="F14" s="23" t="e">
        <x:f aca="0">-PMT(C14/12,$D$9*12,E14*1000000)/1000</x:f>
        <x:v>#VALUE!</x:v>
      </x:c>
      <x:c r="G14" s="112" t="e">
        <x:f aca="0">F14*1000/Предпосылки!$D$13</x:f>
        <x:v>#NAME?</x:v>
      </x:c>
      <x:c r="H14" s="112" t="e">
        <x:f aca="0">F14*1000/Предпосылки!$D$14</x:f>
        <x:v>#NAME?</x:v>
      </x:c>
      <x:c r="I14" s="112"/>
      <x:c r="J14" s="113" t="e">
        <x:f aca="0">IF(G14&lt;=0.45,"GREEN",IF(G14&lt;=0.6,"YELLOW","RED"))</x:f>
        <x:v>#NAME?</x:v>
      </x:c>
      <x:c r="K14" s="1"/>
      <x:c r="L14" s="58"/>
      <x:c r="M14" s="1"/>
      <x:c r="N14" s="1"/>
    </x:row>
    <x:row r="15" ht="15" hidden="0">
      <x:c r="A15" s="1"/>
      <x:c r="B15" s="1"/>
      <x:c r="C15" s="41" t="n">
        <x:v>0.14</x:v>
      </x:c>
      <x:c r="D15" s="74" t="e">
        <x:f aca="0">$D$6*$D$7/1000000</x:f>
        <x:v>#NAME?</x:v>
      </x:c>
      <x:c r="E15" s="74" t="e">
        <x:f aca="0">D15*(1-$D$8)</x:f>
        <x:v>#NAME?</x:v>
      </x:c>
      <x:c r="F15" s="23" t="e">
        <x:f aca="0">-PMT(C15/12,$D$9*12,E15*1000000)/1000</x:f>
        <x:v>#VALUE!</x:v>
      </x:c>
      <x:c r="G15" s="112" t="e">
        <x:f aca="0">F15*1000/Предпосылки!$D$13</x:f>
        <x:v>#NAME?</x:v>
      </x:c>
      <x:c r="H15" s="112" t="e">
        <x:f aca="0">F15*1000/Предпосылки!$D$14</x:f>
        <x:v>#NAME?</x:v>
      </x:c>
      <x:c r="I15" s="112"/>
      <x:c r="J15" s="113" t="e">
        <x:f aca="0">IF(G15&lt;=0.45,"GREEN",IF(G15&lt;=0.6,"YELLOW","RED"))</x:f>
        <x:v>#NAME?</x:v>
      </x:c>
      <x:c r="K15" s="1"/>
      <x:c r="L15" s="58"/>
      <x:c r="M15" s="1"/>
      <x:c r="N15" s="1"/>
    </x:row>
    <x:row r="16" ht="15" hidden="0">
      <x:c r="A16" s="1"/>
      <x:c r="B16" s="1"/>
      <x:c r="C16" s="41" t="n">
        <x:v>0.18</x:v>
      </x:c>
      <x:c r="D16" s="74" t="e">
        <x:f aca="0">$D$6*$D$7/1000000</x:f>
        <x:v>#NAME?</x:v>
      </x:c>
      <x:c r="E16" s="74" t="e">
        <x:f aca="0">D16*(1-$D$8)</x:f>
        <x:v>#NAME?</x:v>
      </x:c>
      <x:c r="F16" s="23" t="e">
        <x:f aca="0">-PMT(C16/12,$D$9*12,E16*1000000)/1000</x:f>
        <x:v>#VALUE!</x:v>
      </x:c>
      <x:c r="G16" s="112" t="e">
        <x:f aca="0">F16*1000/Предпосылки!$D$13</x:f>
        <x:v>#NAME?</x:v>
      </x:c>
      <x:c r="H16" s="112" t="e">
        <x:f aca="0">F16*1000/Предпосылки!$D$14</x:f>
        <x:v>#NAME?</x:v>
      </x:c>
      <x:c r="I16" s="112"/>
      <x:c r="J16" s="113" t="e">
        <x:f aca="0">IF(G16&lt;=0.45,"GREEN",IF(G16&lt;=0.6,"YELLOW","RED"))</x:f>
        <x:v>#NAME?</x:v>
      </x:c>
      <x:c r="K16" s="1"/>
      <x:c r="L16" s="58"/>
      <x:c r="M16" s="1"/>
      <x:c r="N16" s="1"/>
    </x:row>
    <x:row r="17" ht="15" hidden="0">
      <x:c r="A17" s="1"/>
      <x:c r="B17" s="1"/>
      <x:c r="C17" s="41" t="n">
        <x:v>0.22</x:v>
      </x:c>
      <x:c r="D17" s="74" t="e">
        <x:f aca="0">$D$6*$D$7/1000000</x:f>
        <x:v>#NAME?</x:v>
      </x:c>
      <x:c r="E17" s="74" t="e">
        <x:f aca="0">D17*(1-$D$8)</x:f>
        <x:v>#NAME?</x:v>
      </x:c>
      <x:c r="F17" s="23" t="e">
        <x:f aca="0">-PMT(C17/12,$D$9*12,E17*1000000)/1000</x:f>
        <x:v>#VALUE!</x:v>
      </x:c>
      <x:c r="G17" s="112" t="e">
        <x:f aca="0">F17*1000/Предпосылки!$D$13</x:f>
        <x:v>#NAME?</x:v>
      </x:c>
      <x:c r="H17" s="112" t="e">
        <x:f aca="0">F17*1000/Предпосылки!$D$14</x:f>
        <x:v>#NAME?</x:v>
      </x:c>
      <x:c r="I17" s="112"/>
      <x:c r="J17" s="113" t="e">
        <x:f aca="0">IF(G17&lt;=0.45,"GREEN",IF(G17&lt;=0.6,"YELLOW","RED"))</x:f>
        <x:v>#NAME?</x:v>
      </x:c>
      <x:c r="K17" s="1"/>
      <x:c r="L17" s="58"/>
      <x:c r="M17" s="1"/>
      <x:c r="N17" s="1"/>
    </x:row>
    <x:row r="18" ht="15" hidden="0">
      <x:c r="A18" s="1"/>
      <x:c r="B18" s="1"/>
      <x:c r="C18" s="114" t="n">
        <x:v>0.248</x:v>
      </x:c>
      <x:c r="D18" s="80" t="e">
        <x:f aca="0">$D$6*$D$7/1000000</x:f>
        <x:v>#NAME?</x:v>
      </x:c>
      <x:c r="E18" s="80" t="e">
        <x:f aca="0">D18*(1-$D$8)</x:f>
        <x:v>#NAME?</x:v>
      </x:c>
      <x:c r="F18" s="25" t="e">
        <x:f aca="0">-PMT(C18/12,$D$9*12,E18*1000000)/1000</x:f>
        <x:v>#VALUE!</x:v>
      </x:c>
      <x:c r="G18" s="115" t="e">
        <x:f aca="0">F18*1000/Предпосылки!$D$13</x:f>
        <x:v>#NAME?</x:v>
      </x:c>
      <x:c r="H18" s="115" t="e">
        <x:f aca="0">F18*1000/Предпосылки!$D$14</x:f>
        <x:v>#NAME?</x:v>
      </x:c>
      <x:c r="I18" s="115"/>
      <x:c r="J18" s="116" t="e">
        <x:f aca="0">IF(G18&lt;=0.45,"GREEN",IF(G18&lt;=0.6,"YELLOW","RED"))</x:f>
        <x:v>#NAME?</x:v>
      </x:c>
      <x:c r="K18" s="1"/>
      <x:c r="L18" s="58"/>
      <x:c r="M18" s="1"/>
      <x:c r="N18" s="1"/>
    </x:row>
    <x:row r="19" ht="15" hidden="0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 ht="15" hidden="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64.1500015258789" hidden="0">
      <x:c r="A21" s="1"/>
      <x:c r="B21" s="1"/>
      <x:c r="C21" s="26" t="s">
        <x:v>182</x:v>
      </x:c>
      <x:c r="D21" s="27" t="s">
        <x:v>183</x:v>
      </x:c>
      <x:c r="E21" s="27"/>
      <x:c r="F21" s="27"/>
      <x:c r="G21" s="1"/>
      <x:c r="H21" s="1"/>
      <x:c r="I21" s="1"/>
      <x:c r="J21" s="1"/>
      <x:c r="K21" s="1"/>
      <x:c r="L21" s="1"/>
      <x:c r="M21" s="1"/>
      <x:c r="N21" s="1"/>
    </x:row>
    <x:row r="22" ht="64.1500015258789" hidden="0">
      <x:c r="A22" s="1"/>
      <x:c r="B22" s="1"/>
      <x:c r="C22" s="26" t="s">
        <x:v>184</x:v>
      </x:c>
      <x:c r="D22" s="27" t="s">
        <x:v>185</x:v>
      </x:c>
      <x:c r="E22" s="27"/>
      <x:c r="F22" s="27"/>
      <x:c r="G22" s="1"/>
      <x:c r="H22" s="1"/>
      <x:c r="I22" s="1"/>
      <x:c r="J22" s="1"/>
      <x:c r="K22" s="1"/>
      <x:c r="L22" s="1"/>
      <x:c r="M22" s="1"/>
      <x:c r="N22" s="1"/>
    </x:row>
    <x:row r="23" ht="85.05000305175781" hidden="0">
      <x:c r="A23" s="1"/>
      <x:c r="B23" s="1"/>
      <x:c r="C23" s="26" t="str">
        <x:v>Ограничение</x:v>
      </x:c>
      <x:c r="D23" s="27" t="str">
        <x:v>Точная доля домохозяйств, проходящих порог доступности, после независимой проверки признана недостаточно подтверждённой и исключена из публичной версии.</x:v>
      </x:c>
      <x:c r="E23" s="27"/>
      <x:c r="F23" s="27"/>
      <x:c r="G23" s="1"/>
      <x:c r="H23" s="1"/>
      <x:c r="I23" s="1"/>
      <x:c r="J23" s="1"/>
      <x:c r="K23" s="1"/>
      <x:c r="L23" s="1"/>
      <x:c r="M23" s="1"/>
      <x:c r="N23" s="1"/>
    </x:row>
    <x:row r="24" ht="22.350000381469727" hidden="0">
      <x:c r="A24" s="1"/>
      <x:c r="B24" s="1"/>
      <x:c r="C24" s="26" t="str">
        <x:v>Статус</x:v>
      </x:c>
      <x:c r="D24" s="27" t="str">
        <x:v>Показатель исключён; расчёт ипотечного платежа сохранён.</x:v>
      </x:c>
      <x:c r="E24" s="27"/>
      <x:c r="F24" s="27"/>
      <x:c r="G24" s="1"/>
      <x:c r="H24" s="1"/>
      <x:c r="I24" s="1"/>
      <x:c r="J24" s="1"/>
      <x:c r="K24" s="1"/>
      <x:c r="L24" s="1"/>
      <x:c r="M24" s="1"/>
      <x:c r="N24" s="1"/>
    </x:row>
    <x:row r="25" ht="15" hidden="0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54.75" hidden="0" customHeight="1">
      <x:c r="A26" s="1"/>
      <x:c r="B26" s="1"/>
      <x:c r="C26" s="60" t="s">
        <x:v>186</x:v>
      </x:c>
      <x:c r="D26" s="61" t="s">
        <x:v>187</x:v>
      </x:c>
      <x:c r="E26" s="61"/>
      <x:c r="F26" s="61"/>
      <x:c r="G26" s="61"/>
      <x:c r="H26" s="61"/>
      <x:c r="I26" s="61"/>
      <x:c r="J26" s="61"/>
      <x:c r="K26" s="1"/>
      <x:c r="L26" s="1"/>
      <x:c r="M26" s="1"/>
      <x:c r="N26" s="1"/>
    </x:row>
    <x:row r="27" ht="15" hidden="0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 ht="15" hidden="0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15" hidden="0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15" hidden="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 ht="15" hidden="0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 ht="15" hidden="0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 ht="15" hidden="0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 ht="15" hidden="0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 ht="15" hidden="0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</x:sheetData>
  <x:mergeCells>
    <x:mergeCell ref="D26:J26"/>
  </x:mergeCells>
  <x:conditionalFormatting sqref="J13:J18">
    <x:cfRule type="containsText" dxfId="0" priority="2" aboveAverage="0" percent="0" bottom="0" operator="containsText" text="GREEN" rank="0" equalAverage="0">
      <x:formula>NOT(ISERROR(SEARCH("GREEN",J13)))</x:formula>
    </x:cfRule>
    <x:cfRule type="containsText" dxfId="1" priority="3" aboveAverage="0" percent="0" bottom="0" operator="containsText" text="YELLOW" rank="0" equalAverage="0">
      <x:formula>NOT(ISERROR(SEARCH("YELLOW",J13)))</x:formula>
    </x:cfRule>
    <x:cfRule type="containsText" dxfId="2" priority="4" aboveAverage="0" percent="0" bottom="0" operator="containsText" text="RED" rank="0" equalAverage="0">
      <x:formula>NOT(ISERROR(SEARCH("RED",J13)))</x:formula>
    </x:cfRule>
  </x:conditionalFormatting>
  <x:pageMargins left="0.7" right="0.7" top="0.75" bottom="0.75" header="0.3" footer="0.3"/>
  <x:drawing xmlns:r="http://schemas.openxmlformats.org/officeDocument/2006/relationships" r:id="Rfaec700703814591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2" width="2.200000047683716" hidden="0" customWidth="1"/>
    <x:col min="3" max="3" width="35" hidden="0" customWidth="1"/>
    <x:col min="4" max="4" width="14" hidden="0" customWidth="1"/>
    <x:col min="5" max="5" width="15" hidden="0" customWidth="1"/>
    <x:col min="6" max="6" width="17" hidden="0" customWidth="1"/>
    <x:col min="7" max="7" width="14" hidden="0" customWidth="1"/>
    <x:col min="8" max="8" width="11" hidden="0" customWidth="1"/>
    <x:col min="9" max="9" width="16" hidden="0" customWidth="1"/>
    <x:col min="10" max="10" width="52" hidden="0" customWidth="1"/>
  </x:cols>
  <x:sheetData>
    <x:row r="1" ht="15" hidden="0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5.5" hidden="0" customHeight="1">
      <x:c r="A2" s="1"/>
      <x:c r="B2" s="1"/>
      <x:c r="C2" s="2" t="s">
        <x:v>188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15" hidden="0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15" hidden="0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15" hidden="0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27.75" hidden="0" customHeight="1">
      <x:c r="A6" s="1"/>
      <x:c r="B6" s="1"/>
      <x:c r="C6" s="18" t="s">
        <x:v>189</x:v>
      </x:c>
      <x:c r="D6" s="19" t="s">
        <x:v>190</x:v>
      </x:c>
      <x:c r="E6" s="19" t="s">
        <x:v>191</x:v>
      </x:c>
      <x:c r="F6" s="19" t="s">
        <x:v>192</x:v>
      </x:c>
      <x:c r="G6" s="19" t="str">
        <x:v>Срок реализации запаса, лет</x:v>
      </x:c>
      <x:c r="H6" s="19" t="s">
        <x:v>181</x:v>
      </x:c>
      <x:c r="I6" s="19" t="s">
        <x:v>4</x:v>
      </x:c>
      <x:c r="J6" s="20" t="s">
        <x:v>193</x:v>
      </x:c>
      <x:c r="K6" s="1"/>
      <x:c r="L6" s="1"/>
      <x:c r="M6" s="1"/>
      <x:c r="N6" s="1"/>
    </x:row>
    <x:row r="7" ht="23.850000381469727" hidden="0">
      <x:c r="A7" s="1"/>
      <x:c r="B7" s="1"/>
      <x:c r="C7" s="5" t="s">
        <x:v>194</x:v>
      </x:c>
      <x:c r="D7" s="68" t="n">
        <x:v>13.15</x:v>
      </x:c>
      <x:c r="E7" s="68" t="n">
        <x:v>14</x:v>
      </x:c>
      <x:c r="F7" s="68" t="n">
        <x:v>3.5</x:v>
      </x:c>
      <x:c r="G7" s="68" t="n">
        <x:v>2.5</x:v>
      </x:c>
      <x:c r="H7" s="68" t="s">
        <x:v>195</x:v>
      </x:c>
      <x:c r="I7" s="68" t="n">
        <x:v>4.69</x:v>
      </x:c>
      <x:c r="J7" s="13" t="s">
        <x:v>196</x:v>
      </x:c>
      <x:c r="K7" s="1"/>
      <x:c r="L7" s="1"/>
      <x:c r="M7" s="1"/>
      <x:c r="N7" s="1"/>
    </x:row>
    <x:row r="8" ht="23.850000381469727" hidden="0">
      <x:c r="A8" s="1"/>
      <x:c r="B8" s="1"/>
      <x:c r="C8" s="22" t="s">
        <x:v>197</x:v>
      </x:c>
      <x:c r="D8" s="74" t="n">
        <x:v>8.77</x:v>
      </x:c>
      <x:c r="E8" s="74" t="n">
        <x:v>12</x:v>
      </x:c>
      <x:c r="F8" s="74" t="n">
        <x:v>1.75</x:v>
      </x:c>
      <x:c r="G8" s="74" t="n">
        <x:v>3.2</x:v>
      </x:c>
      <x:c r="H8" s="74" t="s">
        <x:v>195</x:v>
      </x:c>
      <x:c r="I8" s="74" t="n">
        <x:v>2.34</x:v>
      </x:c>
      <x:c r="J8" s="15" t="s">
        <x:v>198</x:v>
      </x:c>
      <x:c r="K8" s="1"/>
      <x:c r="L8" s="1"/>
      <x:c r="M8" s="1"/>
      <x:c r="N8" s="1"/>
    </x:row>
    <x:row r="9" ht="23.850000381469727" hidden="0">
      <x:c r="A9" s="1"/>
      <x:c r="B9" s="1"/>
      <x:c r="C9" s="22" t="s">
        <x:v>199</x:v>
      </x:c>
      <x:c r="D9" s="74" t="n">
        <x:v>5.6</x:v>
      </x:c>
      <x:c r="E9" s="74" t="n">
        <x:v>5.4</x:v>
      </x:c>
      <x:c r="F9" s="74" t="n">
        <x:v>1.1</x:v>
      </x:c>
      <x:c r="G9" s="74" t="n">
        <x:v>2.7</x:v>
      </x:c>
      <x:c r="H9" s="74" t="s">
        <x:v>195</x:v>
      </x:c>
      <x:c r="I9" s="74" t="n">
        <x:v>1.47</x:v>
      </x:c>
      <x:c r="J9" s="15" t="s">
        <x:v>200</x:v>
      </x:c>
      <x:c r="K9" s="1"/>
      <x:c r="L9" s="1"/>
      <x:c r="M9" s="1"/>
      <x:c r="N9" s="1"/>
    </x:row>
    <x:row r="10" ht="23.850000381469727" hidden="0">
      <x:c r="A10" s="1"/>
      <x:c r="B10" s="1"/>
      <x:c r="C10" s="22" t="s">
        <x:v>201</x:v>
      </x:c>
      <x:c r="D10" s="74" t="n">
        <x:v>5.84</x:v>
      </x:c>
      <x:c r="E10" s="74" t="n">
        <x:v>8</x:v>
      </x:c>
      <x:c r="F10" s="74" t="n">
        <x:v>0.91</x:v>
      </x:c>
      <x:c r="G10" s="74" t="n">
        <x:v>5.5</x:v>
      </x:c>
      <x:c r="H10" s="74" t="s">
        <x:v>202</x:v>
      </x:c>
      <x:c r="I10" s="74" t="n">
        <x:v>0.88</x:v>
      </x:c>
      <x:c r="J10" s="15" t="s">
        <x:v>203</x:v>
      </x:c>
      <x:c r="K10" s="1"/>
      <x:c r="L10" s="1"/>
      <x:c r="M10" s="1"/>
      <x:c r="N10" s="1"/>
    </x:row>
    <x:row r="11" ht="23.850000381469727" hidden="0">
      <x:c r="A11" s="1"/>
      <x:c r="B11" s="1"/>
      <x:c r="C11" s="22" t="s">
        <x:v>204</x:v>
      </x:c>
      <x:c r="D11" s="74" t="n">
        <x:v>15.7</x:v>
      </x:c>
      <x:c r="E11" s="74" t="n">
        <x:v>35</x:v>
      </x:c>
      <x:c r="F11" s="74" t="n">
        <x:v>7.7</x:v>
      </x:c>
      <x:c r="G11" s="74" t="n">
        <x:v>3.4</x:v>
      </x:c>
      <x:c r="H11" s="74" t="s">
        <x:v>195</x:v>
      </x:c>
      <x:c r="I11" s="74" t="n">
        <x:v>9.38</x:v>
      </x:c>
      <x:c r="J11" s="15" t="s">
        <x:v>205</x:v>
      </x:c>
      <x:c r="K11" s="1"/>
      <x:c r="L11" s="1"/>
      <x:c r="M11" s="1"/>
      <x:c r="N11" s="1"/>
    </x:row>
    <x:row r="12" ht="23.850000381469727" hidden="0">
      <x:c r="A12" s="1"/>
      <x:c r="B12" s="1"/>
      <x:c r="C12" s="24" t="s">
        <x:v>206</x:v>
      </x:c>
      <x:c r="D12" s="80" t="n">
        <x:v>97</x:v>
      </x:c>
      <x:c r="E12" s="80" t="n">
        <x:v>46.2</x:v>
      </x:c>
      <x:c r="F12" s="80" t="n">
        <x:v>10.64</x:v>
      </x:c>
      <x:c r="G12" s="80" t="n">
        <x:v>3.1</x:v>
      </x:c>
      <x:c r="H12" s="80" t="s">
        <x:v>195</x:v>
      </x:c>
      <x:c r="I12" s="80" t="n">
        <x:v>10.54</x:v>
      </x:c>
      <x:c r="J12" s="17" t="s">
        <x:v>207</x:v>
      </x:c>
      <x:c r="K12" s="1"/>
      <x:c r="L12" s="1"/>
      <x:c r="M12" s="1"/>
      <x:c r="N12" s="1"/>
    </x:row>
    <x:row r="13" ht="15" hidden="0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 ht="15" hidden="0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 ht="116.4000015258789" hidden="0">
      <x:c r="A15" s="1"/>
      <x:c r="B15" s="1"/>
      <x:c r="C15" s="26" t="s">
        <x:v>208</x:v>
      </x:c>
      <x:c r="D15" s="27" t="s">
        <x:v>209</x:v>
      </x:c>
      <x:c r="E15" s="27"/>
      <x:c r="F15" s="27"/>
      <x:c r="G15" s="27"/>
      <x:c r="H15" s="27"/>
      <x:c r="I15" s="27"/>
      <x:c r="J15" s="27"/>
      <x:c r="K15" s="1"/>
      <x:c r="L15" s="1"/>
      <x:c r="M15" s="1"/>
      <x:c r="N15" s="1"/>
    </x:row>
    <x:row r="16" ht="95.5" hidden="0">
      <x:c r="A16" s="1"/>
      <x:c r="B16" s="1"/>
      <x:c r="C16" s="26" t="s">
        <x:v>210</x:v>
      </x:c>
      <x:c r="D16" s="27" t="s">
        <x:v>211</x:v>
      </x:c>
      <x:c r="E16" s="27"/>
      <x:c r="F16" s="27"/>
      <x:c r="G16" s="27"/>
      <x:c r="H16" s="27"/>
      <x:c r="I16" s="27"/>
      <x:c r="J16" s="27"/>
      <x:c r="K16" s="1"/>
      <x:c r="L16" s="1"/>
      <x:c r="M16" s="1"/>
      <x:c r="N16" s="1"/>
    </x:row>
    <x:row r="17" ht="126.8499984741211" hidden="0">
      <x:c r="A17" s="1"/>
      <x:c r="B17" s="1"/>
      <x:c r="C17" s="26" t="s">
        <x:v>212</x:v>
      </x:c>
      <x:c r="D17" s="27" t="s">
        <x:v>213</x:v>
      </x:c>
      <x:c r="E17" s="27"/>
      <x:c r="F17" s="27"/>
      <x:c r="G17" s="27"/>
      <x:c r="H17" s="27"/>
      <x:c r="I17" s="27"/>
      <x:c r="J17" s="27"/>
      <x:c r="K17" s="1"/>
      <x:c r="L17" s="1"/>
      <x:c r="M17" s="1"/>
      <x:c r="N17" s="1"/>
    </x:row>
    <x:row r="18" ht="116.4000015258789" hidden="0">
      <x:c r="A18" s="1"/>
      <x:c r="B18" s="1"/>
      <x:c r="C18" s="26" t="s">
        <x:v>214</x:v>
      </x:c>
      <x:c r="D18" s="27" t="s">
        <x:v>215</x:v>
      </x:c>
      <x:c r="E18" s="27"/>
      <x:c r="F18" s="27"/>
      <x:c r="G18" s="27"/>
      <x:c r="H18" s="27"/>
      <x:c r="I18" s="27"/>
      <x:c r="J18" s="27"/>
      <x:c r="K18" s="1"/>
      <x:c r="L18" s="1"/>
      <x:c r="M18" s="1"/>
      <x:c r="N18" s="1"/>
    </x:row>
    <x:row r="19" ht="74.5999984741211" hidden="0">
      <x:c r="A19" s="1"/>
      <x:c r="B19" s="1"/>
      <x:c r="C19" s="26" t="s">
        <x:v>14</x:v>
      </x:c>
      <x:c r="D19" s="27" t="s">
        <x:v>216</x:v>
      </x:c>
      <x:c r="E19" s="27"/>
      <x:c r="F19" s="27"/>
      <x:c r="G19" s="27"/>
      <x:c r="H19" s="27"/>
      <x:c r="I19" s="27"/>
      <x:c r="J19" s="27"/>
      <x:c r="K19" s="1"/>
      <x:c r="L19" s="1"/>
      <x:c r="M19" s="1"/>
      <x:c r="N19" s="1"/>
    </x:row>
    <x:row r="20" ht="15" hidden="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15" hidden="0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 ht="15" hidden="0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15" hidden="0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15" hidden="0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15" hidden="0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15" hidden="0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 ht="15" hidden="0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 ht="15" hidden="0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15" hidden="0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15" hidden="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 ht="15" hidden="0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 ht="15" hidden="0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 ht="15" hidden="0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 ht="15" hidden="0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 ht="15" hidden="0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</x:sheetData>
  <x:conditionalFormatting sqref="H7:H12">
    <x:cfRule type="containsText" dxfId="0" priority="2" aboveAverage="0" percent="0" bottom="0" operator="containsText" text="GREEN" rank="0" equalAverage="0">
      <x:formula>NOT(ISERROR(SEARCH("GREEN",H7)))</x:formula>
    </x:cfRule>
    <x:cfRule type="containsText" dxfId="1" priority="3" aboveAverage="0" percent="0" bottom="0" operator="containsText" text="YELLOW" rank="0" equalAverage="0">
      <x:formula>NOT(ISERROR(SEARCH("YELLOW",H7)))</x:formula>
    </x:cfRule>
    <x:cfRule type="containsText" dxfId="2" priority="4" aboveAverage="0" percent="0" bottom="0" operator="containsText" text="RED" rank="0" equalAverage="0">
      <x:formula>NOT(ISERROR(SEARCH("RED",H7)))</x:formula>
    </x:cfRule>
  </x:conditionalFormatting>
  <x:pageMargins left="0.7" right="0.7" top="0.75" bottom="0.75" header="0.3" footer="0.3"/>
  <x:drawing xmlns:r="http://schemas.openxmlformats.org/officeDocument/2006/relationships" r:id="Rb8e9ceeee1834451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2" width="2.200000047683716" hidden="0" customWidth="1"/>
    <x:col min="3" max="3" width="25" hidden="0" customWidth="1"/>
    <x:col min="4" max="4" width="16" hidden="0" customWidth="1"/>
    <x:col min="5" max="5" width="20" hidden="0" customWidth="1"/>
    <x:col min="6" max="6" width="62" hidden="0" customWidth="1"/>
    <x:col min="7" max="7" width="3" hidden="0" customWidth="1"/>
    <x:col min="8" max="13" width="13" hidden="0" customWidth="1"/>
  </x:cols>
  <x:sheetData>
    <x:row r="1" ht="15" hidden="0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5.5" hidden="0" customHeight="1">
      <x:c r="A2" s="1"/>
      <x:c r="B2" s="1"/>
      <x:c r="C2" s="2" t="s">
        <x:v>217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15" hidden="0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15" hidden="0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15" hidden="0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27.75" hidden="0" customHeight="1">
      <x:c r="A6" s="1"/>
      <x:c r="B6" s="1"/>
      <x:c r="C6" s="18" t="s">
        <x:v>218</x:v>
      </x:c>
      <x:c r="D6" s="19" t="s">
        <x:v>219</x:v>
      </x:c>
      <x:c r="E6" s="19" t="s">
        <x:v>220</x:v>
      </x:c>
      <x:c r="F6" s="20" t="s">
        <x:v>221</x:v>
      </x:c>
      <x:c r="G6" s="1"/>
      <x:c r="H6" s="1"/>
      <x:c r="I6" s="1"/>
      <x:c r="J6" s="1"/>
      <x:c r="K6" s="1"/>
      <x:c r="L6" s="1"/>
      <x:c r="M6" s="1"/>
    </x:row>
    <x:row r="7" ht="15" hidden="0">
      <x:c r="A7" s="1"/>
      <x:c r="B7" s="1"/>
      <x:c r="C7" s="5" t="s">
        <x:v>222</x:v>
      </x:c>
      <x:c r="D7" s="5" t="s">
        <x:v>223</x:v>
      </x:c>
      <x:c r="E7" s="117" t="n">
        <x:v>-0.55</x:v>
      </x:c>
      <x:c r="F7" s="13" t="s">
        <x:v>224</x:v>
      </x:c>
      <x:c r="G7" s="1"/>
      <x:c r="H7" s="1"/>
      <x:c r="I7" s="1"/>
      <x:c r="J7" s="1"/>
      <x:c r="K7" s="1"/>
      <x:c r="L7" s="1"/>
      <x:c r="M7" s="1"/>
    </x:row>
    <x:row r="8" ht="15" hidden="0">
      <x:c r="A8" s="1"/>
      <x:c r="B8" s="1"/>
      <x:c r="C8" s="22" t="s">
        <x:v>41</x:v>
      </x:c>
      <x:c r="D8" s="22" t="s">
        <x:v>225</x:v>
      </x:c>
      <x:c r="E8" s="118" t="n">
        <x:v>-2.4</x:v>
      </x:c>
      <x:c r="F8" s="15" t="s">
        <x:v>226</x:v>
      </x:c>
      <x:c r="G8" s="1"/>
      <x:c r="H8" s="1"/>
      <x:c r="I8" s="1"/>
      <x:c r="J8" s="1"/>
      <x:c r="K8" s="1"/>
      <x:c r="L8" s="1"/>
      <x:c r="M8" s="1"/>
    </x:row>
    <x:row r="9" ht="15" hidden="0">
      <x:c r="A9" s="1"/>
      <x:c r="B9" s="1"/>
      <x:c r="C9" s="22" t="s">
        <x:v>46</x:v>
      </x:c>
      <x:c r="D9" s="22" t="s">
        <x:v>227</x:v>
      </x:c>
      <x:c r="E9" s="118" t="n">
        <x:v>0.21</x:v>
      </x:c>
      <x:c r="F9" s="15" t="s">
        <x:v>228</x:v>
      </x:c>
      <x:c r="G9" s="1"/>
      <x:c r="H9" s="1"/>
      <x:c r="I9" s="1"/>
      <x:c r="J9" s="1"/>
      <x:c r="K9" s="1"/>
      <x:c r="L9" s="1"/>
      <x:c r="M9" s="1"/>
    </x:row>
    <x:row r="10" ht="15" hidden="0">
      <x:c r="A10" s="1"/>
      <x:c r="B10" s="1"/>
      <x:c r="C10" s="22" t="s">
        <x:v>49</x:v>
      </x:c>
      <x:c r="D10" s="22" t="s">
        <x:v>229</x:v>
      </x:c>
      <x:c r="E10" s="118" t="n">
        <x:v>-2.1</x:v>
      </x:c>
      <x:c r="F10" s="15" t="s">
        <x:v>230</x:v>
      </x:c>
      <x:c r="G10" s="1"/>
      <x:c r="H10" s="1"/>
      <x:c r="I10" s="1"/>
      <x:c r="J10" s="1"/>
      <x:c r="K10" s="1"/>
      <x:c r="L10" s="1"/>
      <x:c r="M10" s="1"/>
    </x:row>
    <x:row r="11" ht="15" hidden="0">
      <x:c r="A11" s="1"/>
      <x:c r="B11" s="1"/>
      <x:c r="C11" s="22" t="s">
        <x:v>231</x:v>
      </x:c>
      <x:c r="D11" s="22" t="s">
        <x:v>232</x:v>
      </x:c>
      <x:c r="E11" s="118" t="n">
        <x:v>0</x:v>
      </x:c>
      <x:c r="F11" s="15" t="s">
        <x:v>233</x:v>
      </x:c>
      <x:c r="G11" s="1"/>
      <x:c r="H11" s="1"/>
      <x:c r="I11" s="1"/>
      <x:c r="J11" s="1"/>
      <x:c r="K11" s="1"/>
      <x:c r="L11" s="1"/>
      <x:c r="M11" s="1"/>
    </x:row>
    <x:row r="12" ht="15" hidden="0">
      <x:c r="A12" s="1"/>
      <x:c r="B12" s="1"/>
      <x:c r="C12" s="22" t="s">
        <x:v>52</x:v>
      </x:c>
      <x:c r="D12" s="22" t="s">
        <x:v>234</x:v>
      </x:c>
      <x:c r="E12" s="118" t="n">
        <x:v>0.25</x:v>
      </x:c>
      <x:c r="F12" s="15" t="s">
        <x:v>235</x:v>
      </x:c>
      <x:c r="G12" s="1"/>
      <x:c r="H12" s="1"/>
      <x:c r="I12" s="1"/>
      <x:c r="J12" s="1"/>
      <x:c r="K12" s="1"/>
      <x:c r="L12" s="1"/>
      <x:c r="M12" s="1"/>
    </x:row>
    <x:row r="13" ht="15" hidden="0">
      <x:c r="A13" s="1"/>
      <x:c r="B13" s="1"/>
      <x:c r="C13" s="24" t="s">
        <x:v>236</x:v>
      </x:c>
      <x:c r="D13" s="24" t="s">
        <x:v>237</x:v>
      </x:c>
      <x:c r="E13" s="119" t="n">
        <x:v>0.3</x:v>
      </x:c>
      <x:c r="F13" s="17" t="s">
        <x:v>238</x:v>
      </x:c>
      <x:c r="G13" s="1"/>
      <x:c r="H13" s="1"/>
      <x:c r="I13" s="1"/>
      <x:c r="J13" s="1"/>
      <x:c r="K13" s="1"/>
      <x:c r="L13" s="1"/>
      <x:c r="M13" s="1"/>
    </x:row>
    <x:row r="14" ht="15" hidden="0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</x:row>
    <x:row r="15" ht="15" hidden="0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</x:row>
    <x:row r="16" ht="15" hidden="0">
      <x:c r="A16" s="1"/>
      <x:c r="B16" s="1"/>
      <x:c r="C16" s="26" t="s">
        <x:v>239</x:v>
      </x:c>
      <x:c r="D16" s="27" t="s">
        <x:v>240</x:v>
      </x:c>
      <x:c r="E16" s="27"/>
      <x:c r="F16" s="27"/>
      <x:c r="G16" s="1"/>
      <x:c r="H16" s="1"/>
      <x:c r="I16" s="1"/>
      <x:c r="J16" s="1"/>
      <x:c r="K16" s="1"/>
      <x:c r="L16" s="1"/>
      <x:c r="M16" s="1"/>
    </x:row>
    <x:row r="17" ht="22.350000381469727" hidden="0">
      <x:c r="A17" s="1"/>
      <x:c r="B17" s="1"/>
      <x:c r="C17" s="26"/>
      <x:c r="D17" s="27" t="s">
        <x:v>241</x:v>
      </x:c>
      <x:c r="E17" s="27"/>
      <x:c r="F17" s="27"/>
      <x:c r="G17" s="1"/>
      <x:c r="H17" s="1"/>
      <x:c r="I17" s="1"/>
      <x:c r="J17" s="1"/>
      <x:c r="K17" s="1"/>
      <x:c r="L17" s="1"/>
      <x:c r="M17" s="1"/>
    </x:row>
    <x:row r="18" ht="22.350000381469727" hidden="0">
      <x:c r="A18" s="1"/>
      <x:c r="B18" s="1"/>
      <x:c r="C18" s="26"/>
      <x:c r="D18" s="27" t="s">
        <x:v>242</x:v>
      </x:c>
      <x:c r="E18" s="27"/>
      <x:c r="F18" s="27"/>
      <x:c r="G18" s="1"/>
      <x:c r="H18" s="1"/>
      <x:c r="I18" s="1"/>
      <x:c r="J18" s="1"/>
      <x:c r="K18" s="1"/>
      <x:c r="L18" s="1"/>
      <x:c r="M18" s="1"/>
    </x:row>
    <x:row r="19" ht="22.350000381469727" hidden="0">
      <x:c r="A19" s="1"/>
      <x:c r="B19" s="1"/>
      <x:c r="C19" s="26"/>
      <x:c r="D19" s="27" t="s">
        <x:v>243</x:v>
      </x:c>
      <x:c r="E19" s="27"/>
      <x:c r="F19" s="27"/>
      <x:c r="G19" s="1"/>
      <x:c r="H19" s="1"/>
      <x:c r="I19" s="1"/>
      <x:c r="J19" s="1"/>
      <x:c r="K19" s="1"/>
      <x:c r="L19" s="1"/>
      <x:c r="M19" s="1"/>
    </x:row>
    <x:row r="20" ht="22.350000381469727" hidden="0">
      <x:c r="A20" s="1"/>
      <x:c r="B20" s="1"/>
      <x:c r="C20" s="26"/>
      <x:c r="D20" s="27" t="s">
        <x:v>244</x:v>
      </x:c>
      <x:c r="E20" s="27"/>
      <x:c r="F20" s="27"/>
      <x:c r="G20" s="1"/>
      <x:c r="H20" s="1"/>
      <x:c r="I20" s="1"/>
      <x:c r="J20" s="1"/>
      <x:c r="K20" s="1"/>
      <x:c r="L20" s="1"/>
      <x:c r="M20" s="1"/>
    </x:row>
    <x:row r="21" ht="95.5" hidden="0">
      <x:c r="A21" s="1"/>
      <x:c r="B21" s="1"/>
      <x:c r="C21" s="26" t="s">
        <x:v>193</x:v>
      </x:c>
      <x:c r="D21" s="27" t="s">
        <x:v>245</x:v>
      </x:c>
      <x:c r="E21" s="27"/>
      <x:c r="F21" s="27"/>
      <x:c r="G21" s="1"/>
      <x:c r="H21" s="1"/>
      <x:c r="I21" s="1"/>
      <x:c r="J21" s="1"/>
      <x:c r="K21" s="1"/>
      <x:c r="L21" s="1"/>
      <x:c r="M21" s="1"/>
    </x:row>
    <x:row r="22" ht="15" hidden="0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</x:row>
    <x:row r="23" ht="15" hidden="0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</x:row>
    <x:row r="24" ht="15" hidden="0">
      <x:c r="A24" s="1"/>
      <x:c r="B24" s="1"/>
      <x:c r="C24" s="51" t="s">
        <x:v>246</x:v>
      </x:c>
      <x:c r="D24" s="52"/>
      <x:c r="E24" s="52"/>
      <x:c r="F24" s="52"/>
      <x:c r="G24" s="52"/>
      <x:c r="H24" s="52"/>
      <x:c r="I24" s="52"/>
      <x:c r="J24" s="1"/>
      <x:c r="K24" s="1"/>
      <x:c r="L24" s="1"/>
      <x:c r="M24" s="1"/>
    </x:row>
    <x:row r="25" ht="15" hidden="0">
      <x:c r="A25" s="1"/>
      <x:c r="B25" s="1"/>
      <x:c r="C25" s="51" t="s">
        <x:v>247</x:v>
      </x:c>
      <x:c r="D25" s="51" t="s">
        <x:v>248</x:v>
      </x:c>
      <x:c r="E25" s="51" t="s">
        <x:v>249</x:v>
      </x:c>
      <x:c r="F25" s="51" t="s">
        <x:v>250</x:v>
      </x:c>
      <x:c r="G25" s="51" t="s">
        <x:v>251</x:v>
      </x:c>
      <x:c r="H25" s="51" t="s">
        <x:v>252</x:v>
      </x:c>
      <x:c r="I25" s="51" t="s">
        <x:v>253</x:v>
      </x:c>
      <x:c r="J25" s="51" t="s">
        <x:v>254</x:v>
      </x:c>
      <x:c r="K25" s="51" t="s">
        <x:v>255</x:v>
      </x:c>
      <x:c r="L25" s="51" t="s">
        <x:v>31</x:v>
      </x:c>
      <x:c r="M25" s="1"/>
    </x:row>
    <x:row r="26" ht="15" hidden="0">
      <x:c r="A26" s="1"/>
      <x:c r="B26" s="1"/>
      <x:c r="C26" s="54" t="s">
        <x:v>85</x:v>
      </x:c>
      <x:c r="D26" s="120" t="e">
        <x:f aca="0">Предпосылки!$D$81</x:f>
        <x:v>#NAME?</x:v>
      </x:c>
      <x:c r="E26" s="58" t="s">
        <x:v>225</x:v>
      </x:c>
      <x:c r="F26" s="120" t="e">
        <x:f aca="0">Предпосылки!$D$81*0.1*'Модель спроса'!$Q$12</x:f>
        <x:v>#NAME?</x:v>
      </x:c>
      <x:c r="G26" s="120" t="e">
        <x:f aca="0">'Модель спроса'!$Q$12+F26</x:f>
        <x:v>#NAME?</x:v>
      </x:c>
      <x:c r="H26" s="120" t="e">
        <x:f aca="0">Предпосылки!$D$81*0.1*'Модель спроса'!$Q$17</x:f>
        <x:v>#NAME?</x:v>
      </x:c>
      <x:c r="I26" s="120" t="e">
        <x:f aca="0">'Модель спроса'!$Q$17+H26</x:f>
        <x:v>#NAME?</x:v>
      </x:c>
      <x:c r="J26" s="120" t="e">
        <x:f aca="0">'Баланс предложения'!$H$12-F26</x:f>
        <x:v>#NAME?</x:v>
      </x:c>
      <x:c r="K26" s="63" t="e">
        <x:f aca="0">J26/G26*12</x:f>
        <x:v>#NAME?</x:v>
      </x:c>
      <x:c r="L26" s="54" t="s">
        <x:v>256</x:v>
      </x:c>
      <x:c r="M26" s="1"/>
    </x:row>
    <x:row r="27" ht="15" hidden="0">
      <x:c r="A27" s="1"/>
      <x:c r="B27" s="1"/>
      <x:c r="C27" s="54" t="str">
        <x:v>Базовый (исходный)</x:v>
      </x:c>
      <x:c r="D27" s="120" t="e">
        <x:f aca="0">Предпосылки!$E$81</x:f>
        <x:v>#NAME?</x:v>
      </x:c>
      <x:c r="E27" s="58" t="s">
        <x:v>225</x:v>
      </x:c>
      <x:c r="F27" s="120" t="e">
        <x:f aca="0">Предпосылки!$E$81*0.1*'Модель спроса'!$Q$12</x:f>
        <x:v>#NAME?</x:v>
      </x:c>
      <x:c r="G27" s="120" t="e">
        <x:f aca="0">'Модель спроса'!$Q$12+F27</x:f>
        <x:v>#NAME?</x:v>
      </x:c>
      <x:c r="H27" s="120" t="e">
        <x:f aca="0">Предпосылки!$E$81*0.1*'Модель спроса'!$Q$17</x:f>
        <x:v>#NAME?</x:v>
      </x:c>
      <x:c r="I27" s="120" t="e">
        <x:f aca="0">'Модель спроса'!$Q$17+H27</x:f>
        <x:v>#NAME?</x:v>
      </x:c>
      <x:c r="J27" s="120" t="e">
        <x:f aca="0">'Баланс предложения'!$H$12-F27</x:f>
        <x:v>#NAME?</x:v>
      </x:c>
      <x:c r="K27" s="63" t="e">
        <x:f aca="0">J27/G27*12</x:f>
        <x:v>#NAME?</x:v>
      </x:c>
      <x:c r="L27" s="54" t="s">
        <x:v>256</x:v>
      </x:c>
      <x:c r="M27" s="1"/>
    </x:row>
    <x:row r="28" ht="15" hidden="0">
      <x:c r="A28" s="1"/>
      <x:c r="B28" s="1"/>
      <x:c r="C28" s="54" t="s">
        <x:v>87</x:v>
      </x:c>
      <x:c r="D28" s="120" t="e">
        <x:f aca="0">Предпосылки!$F$81</x:f>
        <x:v>#NAME?</x:v>
      </x:c>
      <x:c r="E28" s="58" t="s">
        <x:v>225</x:v>
      </x:c>
      <x:c r="F28" s="120" t="e">
        <x:f aca="0">Предпосылки!$F$81*0.1*'Модель спроса'!$Q$12</x:f>
        <x:v>#NAME?</x:v>
      </x:c>
      <x:c r="G28" s="120" t="e">
        <x:f aca="0">'Модель спроса'!$Q$12+F28</x:f>
        <x:v>#NAME?</x:v>
      </x:c>
      <x:c r="H28" s="120" t="e">
        <x:f aca="0">Предпосылки!$F$81*0.1*'Модель спроса'!$Q$17</x:f>
        <x:v>#NAME?</x:v>
      </x:c>
      <x:c r="I28" s="120" t="e">
        <x:f aca="0">'Модель спроса'!$Q$17+H28</x:f>
        <x:v>#NAME?</x:v>
      </x:c>
      <x:c r="J28" s="120" t="e">
        <x:f aca="0">'Баланс предложения'!$H$12-F28</x:f>
        <x:v>#NAME?</x:v>
      </x:c>
      <x:c r="K28" s="63" t="e">
        <x:f aca="0">J28/G28*12</x:f>
        <x:v>#NAME?</x:v>
      </x:c>
      <x:c r="L28" s="54" t="s">
        <x:v>256</x:v>
      </x:c>
      <x:c r="M28" s="1"/>
    </x:row>
    <x:row r="29" ht="15" hidden="0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45" hidden="0" customHeight="1">
      <x:c r="A30" s="1"/>
      <x:c r="B30" s="1"/>
      <x:c r="C30" s="54" t="s">
        <x:v>257</x:v>
      </x:c>
      <x:c r="D30" s="64" t="s">
        <x:v>258</x:v>
      </x:c>
      <x:c r="E30" s="64"/>
      <x:c r="F30" s="64"/>
      <x:c r="G30" s="64"/>
      <x:c r="H30" s="64"/>
      <x:c r="I30" s="64"/>
      <x:c r="J30" s="64"/>
      <x:c r="K30" s="64"/>
      <x:c r="L30" s="64"/>
      <x:c r="M30" s="1"/>
    </x:row>
    <x:row r="31" ht="15" hidden="0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30" hidden="0" customHeight="1">
      <x:c r="A32" s="1"/>
      <x:c r="B32" s="1"/>
      <x:c r="C32" s="54" t="s">
        <x:v>259</x:v>
      </x:c>
      <x:c r="D32" s="64" t="s">
        <x:v>260</x:v>
      </x:c>
      <x:c r="E32" s="64"/>
      <x:c r="F32" s="64"/>
      <x:c r="G32" s="64"/>
      <x:c r="H32" s="64"/>
      <x:c r="I32" s="64"/>
      <x:c r="J32" s="64"/>
      <x:c r="K32" s="64"/>
      <x:c r="L32" s="64"/>
      <x:c r="M32" s="1"/>
    </x:row>
    <x:row r="33" ht="15" hidden="0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15" hidden="0">
      <x:c r="A34" s="1"/>
      <x:c r="B34" s="1"/>
      <x:c r="C34" s="51" t="s">
        <x:v>261</x:v>
      </x:c>
      <x:c r="D34" s="52"/>
      <x:c r="E34" s="52"/>
      <x:c r="F34" s="52"/>
      <x:c r="G34" s="52"/>
      <x:c r="H34" s="1"/>
      <x:c r="I34" s="1"/>
      <x:c r="J34" s="1"/>
      <x:c r="K34" s="1"/>
      <x:c r="L34" s="1"/>
      <x:c r="M34" s="1"/>
    </x:row>
    <x:row r="35" ht="15" hidden="0">
      <x:c r="A35" s="1"/>
      <x:c r="B35" s="1"/>
      <x:c r="C35" s="51" t="s">
        <x:v>262</x:v>
      </x:c>
      <x:c r="D35" s="51" t="s">
        <x:v>263</x:v>
      </x:c>
      <x:c r="E35" s="51" t="s">
        <x:v>264</x:v>
      </x:c>
      <x:c r="F35" s="1"/>
      <x:c r="G35" s="1"/>
      <x:c r="H35" s="1"/>
      <x:c r="I35" s="1"/>
      <x:c r="J35" s="1"/>
      <x:c r="K35" s="1"/>
      <x:c r="L35" s="1"/>
      <x:c r="M35" s="1"/>
    </x:row>
    <x:row r="36" ht="30" hidden="0" customHeight="1">
      <x:c r="C36" s="121" t="s">
        <x:v>265</x:v>
      </x:c>
      <x:c r="D36" s="59" t="str">
        <x:v>17,8% в июле 2026 (факт); оптимистичный сценарий предполагает 8–10% не ранее 2029–2030</x:v>
      </x:c>
      <x:c r="E36" s="105" t="s">
        <x:v>266</x:v>
      </x:c>
    </x:row>
    <x:row r="37" ht="30" hidden="0" customHeight="1">
      <x:c r="C37" s="121" t="s">
        <x:v>267</x:v>
      </x:c>
      <x:c r="D37" s="59" t="s">
        <x:v>268</x:v>
      </x:c>
      <x:c r="E37" s="105" t="s">
        <x:v>266</x:v>
      </x:c>
    </x:row>
    <x:row r="38" ht="30" hidden="0" customHeight="1">
      <x:c r="C38" s="121" t="s">
        <x:v>269</x:v>
      </x:c>
      <x:c r="D38" s="59" t="s">
        <x:v>270</x:v>
      </x:c>
      <x:c r="E38" s="105" t="s">
        <x:v>266</x:v>
      </x:c>
    </x:row>
    <x:row r="39" ht="30" hidden="0" customHeight="1">
      <x:c r="C39" s="121" t="s">
        <x:v>271</x:v>
      </x:c>
      <x:c r="D39" s="59" t="s">
        <x:v>272</x:v>
      </x:c>
      <x:c r="E39" s="105" t="s">
        <x:v>273</x:v>
      </x:c>
    </x:row>
  </x:sheetData>
  <x:mergeCells>
    <x:mergeCell ref="D30:L30"/>
    <x:mergeCell ref="D32:L32"/>
  </x:mergeCells>
  <x:pageMargins left="0.7" right="0.7" top="0.75" bottom="0.75" header="0.3" footer="0.3"/>
  <x:drawing xmlns:r="http://schemas.openxmlformats.org/officeDocument/2006/relationships" r:id="R8e3b5c9182cb4ad2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2" width="2.200000047683716" hidden="0" customWidth="1"/>
    <x:col min="3" max="3" width="10" hidden="0" customWidth="1"/>
    <x:col min="4" max="7" width="14" hidden="0" customWidth="1"/>
    <x:col min="8" max="8" width="55" hidden="0" customWidth="1"/>
    <x:col min="9" max="9" width="3" hidden="0" customWidth="1"/>
    <x:col min="10" max="13" width="13" hidden="0" customWidth="1"/>
  </x:cols>
  <x:sheetData>
    <x:row r="1" ht="15" hidden="0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5.5" hidden="0" customHeight="1">
      <x:c r="A2" s="1"/>
      <x:c r="B2" s="1"/>
      <x:c r="C2" s="2" t="s">
        <x:v>274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15" hidden="0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15" hidden="0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15" hidden="0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27.75" hidden="0" customHeight="1">
      <x:c r="A6" s="1"/>
      <x:c r="B6" s="1"/>
      <x:c r="C6" s="18" t="s">
        <x:v>15</x:v>
      </x:c>
      <x:c r="D6" s="19" t="s">
        <x:v>275</x:v>
      </x:c>
      <x:c r="E6" s="19" t="s">
        <x:v>276</x:v>
      </x:c>
      <x:c r="F6" s="19" t="s">
        <x:v>277</x:v>
      </x:c>
      <x:c r="G6" s="19" t="s">
        <x:v>278</x:v>
      </x:c>
      <x:c r="H6" s="20" t="s">
        <x:v>279</x:v>
      </x:c>
      <x:c r="I6" s="1"/>
      <x:c r="J6" s="1"/>
      <x:c r="K6" s="1"/>
      <x:c r="L6" s="1"/>
      <x:c r="M6" s="1"/>
    </x:row>
    <x:row r="7" ht="15" hidden="0">
      <x:c r="A7" s="1"/>
      <x:c r="B7" s="1"/>
      <x:c r="C7" s="21" t="n">
        <x:v>2020</x:v>
      </x:c>
      <x:c r="D7" s="21" t="n">
        <x:v>27</x:v>
      </x:c>
      <x:c r="E7" s="21" t="n">
        <x:v>28.2</x:v>
      </x:c>
      <x:c r="F7" s="21" t="n">
        <x:f aca="0">E7-D7</x:f>
        <x:v>1.1999999999999993</x:v>
      </x:c>
      <x:c r="G7" s="111" t="n">
        <x:f aca="0">ABS(F7/D7)</x:f>
        <x:v>0.04444444444444442</x:v>
      </x:c>
      <x:c r="H7" s="13" t="s">
        <x:v>280</x:v>
      </x:c>
      <x:c r="I7" s="1"/>
      <x:c r="J7" s="1"/>
      <x:c r="K7" s="1"/>
      <x:c r="L7" s="1"/>
      <x:c r="M7" s="1"/>
    </x:row>
    <x:row r="8" ht="15" hidden="0">
      <x:c r="A8" s="1"/>
      <x:c r="B8" s="1"/>
      <x:c r="C8" s="23" t="n">
        <x:v>2021</x:v>
      </x:c>
      <x:c r="D8" s="23" t="n">
        <x:v>28.6</x:v>
      </x:c>
      <x:c r="E8" s="23" t="n">
        <x:v>30</x:v>
      </x:c>
      <x:c r="F8" s="23" t="n">
        <x:f aca="0">E8-D8</x:f>
        <x:v>1.3999999999999986</x:v>
      </x:c>
      <x:c r="G8" s="112" t="n">
        <x:f aca="0">ABS(F8/D8)</x:f>
        <x:v>0.048951048951048896</x:v>
      </x:c>
      <x:c r="H8" s="15" t="s">
        <x:v>281</x:v>
      </x:c>
      <x:c r="I8" s="1"/>
      <x:c r="J8" s="1"/>
      <x:c r="K8" s="1"/>
      <x:c r="L8" s="1"/>
      <x:c r="M8" s="1"/>
    </x:row>
    <x:row r="9" ht="15" hidden="0">
      <x:c r="A9" s="1"/>
      <x:c r="B9" s="1"/>
      <x:c r="C9" s="23" t="n">
        <x:v>2022</x:v>
      </x:c>
      <x:c r="D9" s="23" t="n">
        <x:v>22.6</x:v>
      </x:c>
      <x:c r="E9" s="23" t="n">
        <x:v>24</x:v>
      </x:c>
      <x:c r="F9" s="23" t="n">
        <x:f aca="0">E9-D9</x:f>
        <x:v>1.3999999999999986</x:v>
      </x:c>
      <x:c r="G9" s="112" t="n">
        <x:f aca="0">ABS(F9/D9)</x:f>
        <x:v>0.06194690265486719</x:v>
      </x:c>
      <x:c r="H9" s="15" t="s">
        <x:v>282</x:v>
      </x:c>
      <x:c r="I9" s="1"/>
      <x:c r="J9" s="1"/>
      <x:c r="K9" s="1"/>
      <x:c r="L9" s="1"/>
      <x:c r="M9" s="1"/>
    </x:row>
    <x:row r="10" ht="15" hidden="0">
      <x:c r="A10" s="1"/>
      <x:c r="B10" s="1"/>
      <x:c r="C10" s="23" t="n">
        <x:v>2023</x:v>
      </x:c>
      <x:c r="D10" s="23" t="n">
        <x:v>34.2</x:v>
      </x:c>
      <x:c r="E10" s="23" t="n">
        <x:v>31.8</x:v>
      </x:c>
      <x:c r="F10" s="23" t="n">
        <x:f aca="0">E10-D10</x:f>
        <x:v>-2.400000000000002</x:v>
      </x:c>
      <x:c r="G10" s="112" t="n">
        <x:f aca="0">ABS(F10/D10)</x:f>
        <x:v>0.07017543859649128</x:v>
      </x:c>
      <x:c r="H10" s="15" t="s">
        <x:v>283</x:v>
      </x:c>
      <x:c r="I10" s="1"/>
      <x:c r="J10" s="1"/>
      <x:c r="K10" s="1"/>
      <x:c r="L10" s="1"/>
      <x:c r="M10" s="1"/>
    </x:row>
    <x:row r="11" ht="15" hidden="0">
      <x:c r="A11" s="1"/>
      <x:c r="B11" s="1"/>
      <x:c r="C11" s="23" t="n">
        <x:v>2024</x:v>
      </x:c>
      <x:c r="D11" s="23" t="n">
        <x:v>26.7</x:v>
      </x:c>
      <x:c r="E11" s="23" t="n">
        <x:v>28</x:v>
      </x:c>
      <x:c r="F11" s="23" t="n">
        <x:f aca="0">E11-D11</x:f>
        <x:v>1.3000000000000007</x:v>
      </x:c>
      <x:c r="G11" s="112" t="n">
        <x:f aca="0">ABS(F11/D11)</x:f>
        <x:v>0.048689138576779055</x:v>
      </x:c>
      <x:c r="H11" s="15" t="s">
        <x:v>284</x:v>
      </x:c>
      <x:c r="I11" s="1"/>
      <x:c r="J11" s="1"/>
      <x:c r="K11" s="1"/>
      <x:c r="L11" s="1"/>
      <x:c r="M11" s="1"/>
    </x:row>
    <x:row r="12" ht="15" hidden="0">
      <x:c r="A12" s="1"/>
      <x:c r="B12" s="1"/>
      <x:c r="C12" s="25" t="n">
        <x:v>2025</x:v>
      </x:c>
      <x:c r="D12" s="25" t="n">
        <x:v>25.6</x:v>
      </x:c>
      <x:c r="E12" s="25" t="n">
        <x:v>25.4</x:v>
      </x:c>
      <x:c r="F12" s="25" t="n">
        <x:f aca="0">E12-D12</x:f>
        <x:v>-0.20000000000000284</x:v>
      </x:c>
      <x:c r="G12" s="115" t="n">
        <x:f aca="0">ABS(F12/D12)</x:f>
        <x:v>0.007812500000000111</x:v>
      </x:c>
      <x:c r="H12" s="17" t="s">
        <x:v>285</x:v>
      </x:c>
      <x:c r="I12" s="1"/>
      <x:c r="J12" s="1"/>
      <x:c r="K12" s="1"/>
      <x:c r="L12" s="1"/>
      <x:c r="M12" s="1"/>
    </x:row>
    <x:row r="13" ht="15" hidden="0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</x:row>
    <x:row r="14" ht="15" hidden="0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</x:row>
    <x:row r="15" ht="27.75" hidden="0" customHeight="1">
      <x:c r="A15" s="1"/>
      <x:c r="B15" s="1"/>
      <x:c r="C15" s="18" t="s">
        <x:v>286</x:v>
      </x:c>
      <x:c r="D15" s="20" t="s">
        <x:v>29</x:v>
      </x:c>
      <x:c r="E15" s="1"/>
      <x:c r="F15" s="1"/>
      <x:c r="G15" s="1"/>
      <x:c r="H15" s="1"/>
      <x:c r="I15" s="1"/>
      <x:c r="J15" s="1"/>
      <x:c r="K15" s="1"/>
      <x:c r="L15" s="1"/>
      <x:c r="M15" s="1"/>
    </x:row>
    <x:row r="16" ht="15" hidden="0">
      <x:c r="A16" s="1"/>
      <x:c r="B16" s="1"/>
      <x:c r="C16" s="1" t="s">
        <x:v>287</x:v>
      </x:c>
      <x:c r="D16" s="122" t="n">
        <x:f aca="0">AVERAGE(G7:G12)</x:f>
        <x:v>0.04700324553727183</x:v>
      </x:c>
      <x:c r="E16" s="1"/>
      <x:c r="F16" s="1"/>
      <x:c r="G16" s="1"/>
      <x:c r="H16" s="1"/>
      <x:c r="I16" s="1"/>
      <x:c r="J16" s="1"/>
      <x:c r="K16" s="1"/>
      <x:c r="L16" s="1"/>
      <x:c r="M16" s="1"/>
    </x:row>
    <x:row r="17" ht="15" hidden="0">
      <x:c r="A17" s="1"/>
      <x:c r="B17" s="1"/>
      <x:c r="C17" s="1" t="s">
        <x:v>288</x:v>
      </x:c>
      <x:c r="D17" s="123" t="n">
        <x:f aca="0">AVERAGE(F7:F12)</x:f>
        <x:v>0.4499999999999987</x:v>
      </x:c>
      <x:c r="E17" s="1"/>
      <x:c r="F17" s="1"/>
      <x:c r="G17" s="1"/>
      <x:c r="H17" s="1"/>
      <x:c r="I17" s="1"/>
      <x:c r="J17" s="1"/>
      <x:c r="K17" s="1"/>
      <x:c r="L17" s="1"/>
      <x:c r="M17" s="1"/>
    </x:row>
    <x:row r="18" ht="15" hidden="0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</x:row>
    <x:row r="19" ht="15" hidden="0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</x:row>
    <x:row r="20" ht="95.5" hidden="0">
      <x:c r="A20" s="1"/>
      <x:c r="B20" s="1"/>
      <x:c r="C20" s="26" t="s">
        <x:v>182</x:v>
      </x:c>
      <x:c r="D20" s="27" t="s">
        <x:v>289</x:v>
      </x:c>
      <x:c r="E20" s="27"/>
      <x:c r="F20" s="27"/>
      <x:c r="G20" s="27"/>
      <x:c r="H20" s="27"/>
      <x:c r="I20" s="1"/>
      <x:c r="J20" s="1"/>
      <x:c r="K20" s="1"/>
      <x:c r="L20" s="1"/>
      <x:c r="M20" s="1"/>
    </x:row>
    <x:row r="21" ht="95.5" hidden="0">
      <x:c r="A21" s="1"/>
      <x:c r="B21" s="1"/>
      <x:c r="C21" s="26" t="s">
        <x:v>290</x:v>
      </x:c>
      <x:c r="D21" s="27" t="s">
        <x:v>291</x:v>
      </x:c>
      <x:c r="E21" s="27"/>
      <x:c r="F21" s="27"/>
      <x:c r="G21" s="27"/>
      <x:c r="H21" s="27"/>
      <x:c r="I21" s="1"/>
      <x:c r="J21" s="1"/>
      <x:c r="K21" s="1"/>
      <x:c r="L21" s="1"/>
      <x:c r="M21" s="1"/>
    </x:row>
    <x:row r="22" ht="74.5999984741211" hidden="0">
      <x:c r="A22" s="1"/>
      <x:c r="B22" s="1"/>
      <x:c r="C22" s="26" t="s">
        <x:v>292</x:v>
      </x:c>
      <x:c r="D22" s="27" t="s">
        <x:v>293</x:v>
      </x:c>
      <x:c r="E22" s="27"/>
      <x:c r="F22" s="27"/>
      <x:c r="G22" s="27"/>
      <x:c r="H22" s="27"/>
      <x:c r="I22" s="1"/>
      <x:c r="J22" s="1"/>
      <x:c r="K22" s="1"/>
      <x:c r="L22" s="1"/>
      <x:c r="M22" s="1"/>
    </x:row>
    <x:row r="23" ht="15" hidden="0">
      <x:c r="A23" s="1"/>
      <x:c r="B23" s="1"/>
      <x:c r="C23" s="26" t="s">
        <x:v>31</x:v>
      </x:c>
      <x:c r="D23" s="27" t="s">
        <x:v>45</x:v>
      </x:c>
      <x:c r="E23" s="27"/>
      <x:c r="F23" s="27"/>
      <x:c r="G23" s="27"/>
      <x:c r="H23" s="27"/>
      <x:c r="I23" s="1"/>
      <x:c r="J23" s="1"/>
      <x:c r="K23" s="1"/>
      <x:c r="L23" s="1"/>
      <x:c r="M23" s="1"/>
    </x:row>
    <x:row r="24" ht="15" hidden="0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15" hidden="0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15" hidden="0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</x:row>
    <x:row r="27" ht="15" hidden="0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</x:row>
    <x:row r="28" ht="15" hidden="0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</x:row>
    <x:row r="29" ht="15" hidden="0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15" hidden="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</x:sheetData>
  <x:pageMargins left="0.7" right="0.7" top="0.75" bottom="0.75" header="0.3" footer="0.3"/>
  <x:drawing xmlns:r="http://schemas.openxmlformats.org/officeDocument/2006/relationships" r:id="R33838a66d9da496d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2" width="2.200000047683716" hidden="0" customWidth="1"/>
    <x:col min="3" max="3" width="31" hidden="0" customWidth="1"/>
    <x:col min="4" max="4" width="28" hidden="0" customWidth="1"/>
    <x:col min="5" max="5" width="24" hidden="0" customWidth="1"/>
    <x:col min="6" max="6" width="34" hidden="0" customWidth="1"/>
    <x:col min="7" max="7" width="12" hidden="0" customWidth="1"/>
    <x:col min="8" max="8" width="48" hidden="0" customWidth="1"/>
  </x:cols>
  <x:sheetData>
    <x:row r="1" ht="15" hidden="0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5.5" hidden="0" customHeight="1">
      <x:c r="A2" s="1"/>
      <x:c r="B2" s="1"/>
      <x:c r="C2" s="2" t="s">
        <x:v>294</x:v>
      </x:c>
      <x:c r="D2" s="1"/>
      <x:c r="E2" s="1"/>
      <x:c r="F2" s="1"/>
      <x:c r="G2" s="1"/>
      <x:c r="H2" s="1"/>
      <x:c r="I2" s="1"/>
      <x:c r="J2" s="1"/>
      <x:c r="K2" s="1"/>
      <x:c r="L2" s="1"/>
    </x:row>
    <x:row r="3" ht="15" hidden="0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15" hidden="0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1" hidden="0" customHeight="1">
      <x:c r="A5" s="1"/>
      <x:c r="B5" s="1"/>
      <x:c r="C5" s="11" t="s">
        <x:v>295</x:v>
      </x:c>
      <x:c r="D5" s="11"/>
      <x:c r="E5" s="11"/>
      <x:c r="F5" s="11"/>
      <x:c r="G5" s="11"/>
      <x:c r="H5" s="11"/>
      <x:c r="I5" s="11"/>
      <x:c r="J5" s="11"/>
      <x:c r="K5" s="11"/>
      <x:c r="L5" s="11"/>
    </x:row>
    <x:row r="6" ht="27.75" hidden="0" customHeight="1">
      <x:c r="A6" s="1"/>
      <x:c r="B6" s="1"/>
      <x:c r="C6" s="18" t="s">
        <x:v>296</x:v>
      </x:c>
      <x:c r="D6" s="19" t="s">
        <x:v>297</x:v>
      </x:c>
      <x:c r="E6" s="19" t="s">
        <x:v>298</x:v>
      </x:c>
      <x:c r="F6" s="19" t="s">
        <x:v>31</x:v>
      </x:c>
      <x:c r="G6" s="19" t="s">
        <x:v>299</x:v>
      </x:c>
      <x:c r="H6" s="20" t="s">
        <x:v>300</x:v>
      </x:c>
      <x:c r="I6" s="1"/>
      <x:c r="J6" s="1"/>
      <x:c r="K6" s="1"/>
      <x:c r="L6" s="1"/>
    </x:row>
    <x:row r="7" ht="46.25" hidden="0">
      <x:c r="A7" s="1"/>
      <x:c r="B7" s="1"/>
      <x:c r="C7" s="5" t="s">
        <x:v>301</x:v>
      </x:c>
      <x:c r="D7" s="13" t="s">
        <x:v>302</x:v>
      </x:c>
      <x:c r="E7" s="13" t="s">
        <x:v>303</x:v>
      </x:c>
      <x:c r="F7" s="13" t="s">
        <x:v>304</x:v>
      </x:c>
      <x:c r="G7" s="13" t="s">
        <x:v>305</x:v>
      </x:c>
      <x:c r="H7" s="13" t="s">
        <x:v>306</x:v>
      </x:c>
      <x:c r="I7" s="1"/>
      <x:c r="J7" s="1"/>
      <x:c r="K7" s="1"/>
      <x:c r="L7" s="1"/>
    </x:row>
    <x:row r="8" ht="23.850000381469727" hidden="0">
      <x:c r="A8" s="1"/>
      <x:c r="B8" s="1"/>
      <x:c r="C8" s="22" t="s">
        <x:v>307</x:v>
      </x:c>
      <x:c r="D8" s="15" t="s">
        <x:v>308</x:v>
      </x:c>
      <x:c r="E8" s="15" t="s">
        <x:v>309</x:v>
      </x:c>
      <x:c r="F8" s="15" t="s">
        <x:v>310</x:v>
      </x:c>
      <x:c r="G8" s="15" t="s">
        <x:v>305</x:v>
      </x:c>
      <x:c r="H8" s="15" t="s">
        <x:v>311</x:v>
      </x:c>
      <x:c r="I8" s="1"/>
      <x:c r="J8" s="1"/>
      <x:c r="K8" s="1"/>
      <x:c r="L8" s="1"/>
    </x:row>
    <x:row r="9" ht="23.850000381469727" hidden="0">
      <x:c r="A9" s="1"/>
      <x:c r="B9" s="1"/>
      <x:c r="C9" s="22" t="s">
        <x:v>312</x:v>
      </x:c>
      <x:c r="D9" s="15" t="s">
        <x:v>313</x:v>
      </x:c>
      <x:c r="E9" s="15" t="s">
        <x:v>314</x:v>
      </x:c>
      <x:c r="F9" s="15" t="s">
        <x:v>315</x:v>
      </x:c>
      <x:c r="G9" s="15" t="s">
        <x:v>316</x:v>
      </x:c>
      <x:c r="H9" s="15" t="s">
        <x:v>317</x:v>
      </x:c>
      <x:c r="I9" s="1"/>
      <x:c r="J9" s="1"/>
      <x:c r="K9" s="1"/>
      <x:c r="L9" s="1"/>
    </x:row>
    <x:row r="10" ht="35.04999923706055" hidden="0">
      <x:c r="A10" s="1"/>
      <x:c r="B10" s="1"/>
      <x:c r="C10" s="22" t="s">
        <x:v>318</x:v>
      </x:c>
      <x:c r="D10" s="15" t="s">
        <x:v>319</x:v>
      </x:c>
      <x:c r="E10" s="15" t="s">
        <x:v>320</x:v>
      </x:c>
      <x:c r="F10" s="15" t="s">
        <x:v>310</x:v>
      </x:c>
      <x:c r="G10" s="15" t="s">
        <x:v>321</x:v>
      </x:c>
      <x:c r="H10" s="15" t="s">
        <x:v>322</x:v>
      </x:c>
      <x:c r="I10" s="1"/>
      <x:c r="J10" s="1"/>
      <x:c r="K10" s="1"/>
      <x:c r="L10" s="1"/>
    </x:row>
    <x:row r="11" ht="23.850000381469727" hidden="0">
      <x:c r="A11" s="1"/>
      <x:c r="B11" s="1"/>
      <x:c r="C11" s="22" t="s">
        <x:v>323</x:v>
      </x:c>
      <x:c r="D11" s="15" t="s">
        <x:v>324</x:v>
      </x:c>
      <x:c r="E11" s="15" t="s">
        <x:v>325</x:v>
      </x:c>
      <x:c r="F11" s="15" t="s">
        <x:v>310</x:v>
      </x:c>
      <x:c r="G11" s="15" t="s">
        <x:v>326</x:v>
      </x:c>
      <x:c r="H11" s="15" t="s">
        <x:v>327</x:v>
      </x:c>
      <x:c r="I11" s="1"/>
      <x:c r="J11" s="1"/>
      <x:c r="K11" s="1"/>
      <x:c r="L11" s="1"/>
    </x:row>
    <x:row r="12" ht="23.850000381469727" hidden="0">
      <x:c r="A12" s="1"/>
      <x:c r="B12" s="1"/>
      <x:c r="C12" s="22" t="s">
        <x:v>328</x:v>
      </x:c>
      <x:c r="D12" s="15" t="s">
        <x:v>329</x:v>
      </x:c>
      <x:c r="E12" s="15" t="s">
        <x:v>330</x:v>
      </x:c>
      <x:c r="F12" s="15" t="s">
        <x:v>310</x:v>
      </x:c>
      <x:c r="G12" s="15" t="s">
        <x:v>326</x:v>
      </x:c>
      <x:c r="H12" s="15" t="s">
        <x:v>331</x:v>
      </x:c>
      <x:c r="I12" s="1"/>
      <x:c r="J12" s="1"/>
      <x:c r="K12" s="1"/>
      <x:c r="L12" s="1"/>
    </x:row>
    <x:row r="13" ht="46.25" hidden="0">
      <x:c r="A13" s="1"/>
      <x:c r="B13" s="1"/>
      <x:c r="C13" s="24" t="s">
        <x:v>332</x:v>
      </x:c>
      <x:c r="D13" s="17" t="s">
        <x:v>333</x:v>
      </x:c>
      <x:c r="E13" s="17" t="s">
        <x:v>334</x:v>
      </x:c>
      <x:c r="F13" s="17" t="s">
        <x:v>45</x:v>
      </x:c>
      <x:c r="G13" s="17" t="s">
        <x:v>335</x:v>
      </x:c>
      <x:c r="H13" s="17" t="s">
        <x:v>336</x:v>
      </x:c>
      <x:c r="I13" s="1"/>
      <x:c r="J13" s="1"/>
      <x:c r="K13" s="1"/>
      <x:c r="L13" s="1"/>
    </x:row>
    <x:row r="14" ht="15" hidden="0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15" hidden="0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2.350000381469727" hidden="0">
      <x:c r="A16" s="1"/>
      <x:c r="B16" s="1"/>
      <x:c r="C16" s="26" t="s">
        <x:v>337</x:v>
      </x:c>
      <x:c r="D16" s="27" t="s">
        <x:v>338</x:v>
      </x:c>
      <x:c r="E16" s="27" t="s">
        <x:v>45</x:v>
      </x:c>
      <x:c r="F16" s="27"/>
      <x:c r="G16" s="27"/>
      <x:c r="H16" s="27"/>
      <x:c r="I16" s="1"/>
      <x:c r="J16" s="1"/>
      <x:c r="K16" s="1"/>
      <x:c r="L16" s="1"/>
    </x:row>
    <x:row r="17" ht="53.70000076293945" hidden="0">
      <x:c r="A17" s="1"/>
      <x:c r="B17" s="1"/>
      <x:c r="C17" s="26" t="s">
        <x:v>339</x:v>
      </x:c>
      <x:c r="D17" s="27" t="s">
        <x:v>340</x:v>
      </x:c>
      <x:c r="E17" s="27" t="s">
        <x:v>341</x:v>
      </x:c>
      <x:c r="F17" s="27"/>
      <x:c r="G17" s="27"/>
      <x:c r="H17" s="27"/>
      <x:c r="I17" s="1"/>
      <x:c r="J17" s="1"/>
      <x:c r="K17" s="1"/>
      <x:c r="L17" s="1"/>
    </x:row>
    <x:row r="18" ht="64.1500015258789" hidden="0">
      <x:c r="A18" s="1"/>
      <x:c r="B18" s="1"/>
      <x:c r="C18" s="26" t="s">
        <x:v>342</x:v>
      </x:c>
      <x:c r="D18" s="27" t="s">
        <x:v>343</x:v>
      </x:c>
      <x:c r="E18" s="27" t="s">
        <x:v>344</x:v>
      </x:c>
      <x:c r="F18" s="27"/>
      <x:c r="G18" s="27"/>
      <x:c r="H18" s="27"/>
      <x:c r="I18" s="1"/>
      <x:c r="J18" s="1"/>
      <x:c r="K18" s="1"/>
      <x:c r="L18" s="1"/>
    </x:row>
    <x:row r="19" ht="15" hidden="0">
      <x:c r="A19" s="1"/>
      <x:c r="B19" s="1"/>
      <x:c r="C19" s="26" t="s">
        <x:v>14</x:v>
      </x:c>
      <x:c r="D19" s="27" t="s">
        <x:v>345</x:v>
      </x:c>
      <x:c r="E19" s="27" t="s">
        <x:v>346</x:v>
      </x:c>
      <x:c r="F19" s="27"/>
      <x:c r="G19" s="27"/>
      <x:c r="H19" s="27"/>
      <x:c r="I19" s="1"/>
      <x:c r="J19" s="1"/>
      <x:c r="K19" s="1"/>
      <x:c r="L19" s="1"/>
    </x:row>
    <x:row r="20" ht="15" hidden="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15" hidden="0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1" hidden="0" customHeight="1">
      <x:c r="A22" s="1"/>
      <x:c r="B22" s="1"/>
      <x:c r="C22" s="11" t="s">
        <x:v>347</x:v>
      </x:c>
      <x:c r="D22" s="11"/>
      <x:c r="E22" s="11"/>
      <x:c r="F22" s="11"/>
      <x:c r="G22" s="11"/>
      <x:c r="H22" s="11"/>
      <x:c r="I22" s="11"/>
      <x:c r="J22" s="11"/>
      <x:c r="K22" s="11"/>
      <x:c r="L22" s="11"/>
    </x:row>
    <x:row r="23" ht="27.75" hidden="0" customHeight="1">
      <x:c r="A23" s="1"/>
      <x:c r="B23" s="1"/>
      <x:c r="C23" s="18" t="s">
        <x:v>348</x:v>
      </x:c>
      <x:c r="D23" s="19" t="s">
        <x:v>349</x:v>
      </x:c>
      <x:c r="E23" s="19" t="s">
        <x:v>350</x:v>
      </x:c>
      <x:c r="F23" s="19" t="s">
        <x:v>351</x:v>
      </x:c>
      <x:c r="G23" s="20" t="s">
        <x:v>181</x:v>
      </x:c>
      <x:c r="H23" s="1"/>
      <x:c r="I23" s="1"/>
      <x:c r="J23" s="1"/>
      <x:c r="K23" s="1"/>
      <x:c r="L23" s="1"/>
    </x:row>
    <x:row r="24" ht="23.850000381469727" hidden="0">
      <x:c r="A24" s="1"/>
      <x:c r="B24" s="1"/>
      <x:c r="C24" s="5" t="s">
        <x:v>352</x:v>
      </x:c>
      <x:c r="D24" s="13" t="s">
        <x:v>353</x:v>
      </x:c>
      <x:c r="E24" s="13" t="s">
        <x:v>354</x:v>
      </x:c>
      <x:c r="F24" s="13" t="s">
        <x:v>355</x:v>
      </x:c>
      <x:c r="G24" s="5" t="s">
        <x:v>195</x:v>
      </x:c>
      <x:c r="H24" s="1"/>
      <x:c r="I24" s="1"/>
      <x:c r="J24" s="1"/>
      <x:c r="K24" s="1"/>
      <x:c r="L24" s="1"/>
    </x:row>
    <x:row r="25" ht="23.850000381469727" hidden="0">
      <x:c r="A25" s="1"/>
      <x:c r="B25" s="1"/>
      <x:c r="C25" s="22" t="s">
        <x:v>231</x:v>
      </x:c>
      <x:c r="D25" s="15" t="s">
        <x:v>356</x:v>
      </x:c>
      <x:c r="E25" s="15" t="s">
        <x:v>357</x:v>
      </x:c>
      <x:c r="F25" s="15" t="s">
        <x:v>358</x:v>
      </x:c>
      <x:c r="G25" s="113" t="s">
        <x:v>202</x:v>
      </x:c>
      <x:c r="H25" s="1"/>
      <x:c r="I25" s="1"/>
      <x:c r="J25" s="1"/>
      <x:c r="K25" s="1"/>
      <x:c r="L25" s="1"/>
    </x:row>
    <x:row r="26" ht="15" hidden="0">
      <x:c r="A26" s="1"/>
      <x:c r="B26" s="1"/>
      <x:c r="C26" s="22" t="s">
        <x:v>328</x:v>
      </x:c>
      <x:c r="D26" s="15" t="s">
        <x:v>359</x:v>
      </x:c>
      <x:c r="E26" s="15" t="s">
        <x:v>360</x:v>
      </x:c>
      <x:c r="F26" s="15" t="s">
        <x:v>361</x:v>
      </x:c>
      <x:c r="G26" s="113" t="s">
        <x:v>202</x:v>
      </x:c>
      <x:c r="H26" s="1"/>
      <x:c r="I26" s="1"/>
      <x:c r="J26" s="1"/>
      <x:c r="K26" s="1"/>
      <x:c r="L26" s="1"/>
    </x:row>
    <x:row r="27" ht="23.850000381469727" hidden="0">
      <x:c r="A27" s="1"/>
      <x:c r="B27" s="1"/>
      <x:c r="C27" s="22" t="s">
        <x:v>151</x:v>
      </x:c>
      <x:c r="D27" s="15" t="s">
        <x:v>362</x:v>
      </x:c>
      <x:c r="E27" s="15" t="s">
        <x:v>363</x:v>
      </x:c>
      <x:c r="F27" s="15" t="s">
        <x:v>364</x:v>
      </x:c>
      <x:c r="G27" s="113" t="s">
        <x:v>195</x:v>
      </x:c>
      <x:c r="H27" s="1"/>
      <x:c r="I27" s="1"/>
      <x:c r="J27" s="1"/>
      <x:c r="K27" s="1"/>
      <x:c r="L27" s="1"/>
    </x:row>
    <x:row r="28" ht="23.850000381469727" hidden="0">
      <x:c r="A28" s="1"/>
      <x:c r="B28" s="1"/>
      <x:c r="C28" s="22" t="s">
        <x:v>365</x:v>
      </x:c>
      <x:c r="D28" s="15" t="s">
        <x:v>366</x:v>
      </x:c>
      <x:c r="E28" s="15" t="s">
        <x:v>367</x:v>
      </x:c>
      <x:c r="F28" s="15" t="s">
        <x:v>368</x:v>
      </x:c>
      <x:c r="G28" s="113" t="s">
        <x:v>195</x:v>
      </x:c>
      <x:c r="H28" s="1"/>
      <x:c r="I28" s="1"/>
      <x:c r="J28" s="1"/>
      <x:c r="K28" s="1"/>
      <x:c r="L28" s="1"/>
    </x:row>
    <x:row r="29" ht="23.850000381469727" hidden="0">
      <x:c r="A29" s="1"/>
      <x:c r="B29" s="1"/>
      <x:c r="C29" s="22" t="s">
        <x:v>369</x:v>
      </x:c>
      <x:c r="D29" s="15" t="s">
        <x:v>370</x:v>
      </x:c>
      <x:c r="E29" s="15" t="s">
        <x:v>371</x:v>
      </x:c>
      <x:c r="F29" s="15" t="s">
        <x:v>372</x:v>
      </x:c>
      <x:c r="G29" s="113" t="s">
        <x:v>202</x:v>
      </x:c>
      <x:c r="H29" s="1"/>
      <x:c r="I29" s="1"/>
      <x:c r="J29" s="1"/>
      <x:c r="K29" s="1"/>
      <x:c r="L29" s="1"/>
    </x:row>
    <x:row r="30" ht="23.850000381469727" hidden="0">
      <x:c r="A30" s="1"/>
      <x:c r="B30" s="1"/>
      <x:c r="C30" s="22" t="s">
        <x:v>373</x:v>
      </x:c>
      <x:c r="D30" s="15" t="s">
        <x:v>374</x:v>
      </x:c>
      <x:c r="E30" s="15" t="s">
        <x:v>375</x:v>
      </x:c>
      <x:c r="F30" s="15" t="s">
        <x:v>376</x:v>
      </x:c>
      <x:c r="G30" s="113" t="s">
        <x:v>202</x:v>
      </x:c>
      <x:c r="H30" s="1"/>
      <x:c r="I30" s="1"/>
      <x:c r="J30" s="1"/>
      <x:c r="K30" s="1"/>
      <x:c r="L30" s="1"/>
    </x:row>
    <x:row r="31" ht="23.850000381469727" hidden="0">
      <x:c r="A31" s="1"/>
      <x:c r="B31" s="1"/>
      <x:c r="C31" s="22" t="s">
        <x:v>377</x:v>
      </x:c>
      <x:c r="D31" s="15" t="s">
        <x:v>378</x:v>
      </x:c>
      <x:c r="E31" s="15" t="s">
        <x:v>379</x:v>
      </x:c>
      <x:c r="F31" s="15" t="s">
        <x:v>380</x:v>
      </x:c>
      <x:c r="G31" s="113" t="s">
        <x:v>195</x:v>
      </x:c>
      <x:c r="H31" s="1"/>
      <x:c r="I31" s="1"/>
      <x:c r="J31" s="1"/>
      <x:c r="K31" s="1"/>
      <x:c r="L31" s="1"/>
    </x:row>
    <x:row r="32" ht="23.850000381469727" hidden="0">
      <x:c r="A32" s="1"/>
      <x:c r="B32" s="1"/>
      <x:c r="C32" s="22" t="s">
        <x:v>381</x:v>
      </x:c>
      <x:c r="D32" s="15" t="s">
        <x:v>382</x:v>
      </x:c>
      <x:c r="E32" s="15" t="s">
        <x:v>383</x:v>
      </x:c>
      <x:c r="F32" s="15" t="s">
        <x:v>384</x:v>
      </x:c>
      <x:c r="G32" s="113" t="s">
        <x:v>195</x:v>
      </x:c>
      <x:c r="H32" s="1"/>
      <x:c r="I32" s="1"/>
      <x:c r="J32" s="1"/>
      <x:c r="K32" s="1"/>
      <x:c r="L32" s="1"/>
    </x:row>
    <x:row r="33" ht="23.850000381469727" hidden="0">
      <x:c r="A33" s="1"/>
      <x:c r="B33" s="1"/>
      <x:c r="C33" s="22" t="s">
        <x:v>385</x:v>
      </x:c>
      <x:c r="D33" s="15" t="s">
        <x:v>386</x:v>
      </x:c>
      <x:c r="E33" s="15" t="s">
        <x:v>387</x:v>
      </x:c>
      <x:c r="F33" s="15" t="s">
        <x:v>388</x:v>
      </x:c>
      <x:c r="G33" s="113" t="s">
        <x:v>195</x:v>
      </x:c>
      <x:c r="H33" s="1"/>
      <x:c r="I33" s="1"/>
      <x:c r="J33" s="1"/>
      <x:c r="K33" s="1"/>
      <x:c r="L33" s="1"/>
    </x:row>
    <x:row r="34" ht="23.850000381469727" hidden="0">
      <x:c r="A34" s="1"/>
      <x:c r="B34" s="1"/>
      <x:c r="C34" s="22" t="s">
        <x:v>389</x:v>
      </x:c>
      <x:c r="D34" s="15" t="s">
        <x:v>390</x:v>
      </x:c>
      <x:c r="E34" s="15" t="s">
        <x:v>391</x:v>
      </x:c>
      <x:c r="F34" s="15" t="s">
        <x:v>392</x:v>
      </x:c>
      <x:c r="G34" s="113" t="s">
        <x:v>195</x:v>
      </x:c>
      <x:c r="H34" s="1"/>
      <x:c r="I34" s="1"/>
      <x:c r="J34" s="1"/>
      <x:c r="K34" s="1"/>
      <x:c r="L34" s="1"/>
    </x:row>
    <x:row r="35" ht="35.04999923706055" hidden="0">
      <x:c r="A35" s="1"/>
      <x:c r="B35" s="1"/>
      <x:c r="C35" s="22" t="s">
        <x:v>393</x:v>
      </x:c>
      <x:c r="D35" s="15" t="s">
        <x:v>394</x:v>
      </x:c>
      <x:c r="E35" s="15" t="s">
        <x:v>395</x:v>
      </x:c>
      <x:c r="F35" s="15" t="s">
        <x:v>396</x:v>
      </x:c>
      <x:c r="G35" s="113" t="s">
        <x:v>202</x:v>
      </x:c>
      <x:c r="H35" s="1"/>
      <x:c r="I35" s="1"/>
      <x:c r="J35" s="1"/>
      <x:c r="K35" s="1"/>
      <x:c r="L35" s="1"/>
    </x:row>
    <x:row r="36" ht="23.850000381469727" hidden="0">
      <x:c r="A36" s="1"/>
      <x:c r="B36" s="1"/>
      <x:c r="C36" s="24" t="s">
        <x:v>397</x:v>
      </x:c>
      <x:c r="D36" s="17" t="s">
        <x:v>398</x:v>
      </x:c>
      <x:c r="E36" s="17" t="s">
        <x:v>399</x:v>
      </x:c>
      <x:c r="F36" s="17" t="s">
        <x:v>400</x:v>
      </x:c>
      <x:c r="G36" s="116" t="s">
        <x:v>202</x:v>
      </x:c>
      <x:c r="H36" s="1"/>
      <x:c r="I36" s="1"/>
      <x:c r="J36" s="1"/>
      <x:c r="K36" s="1"/>
      <x:c r="L36" s="1"/>
    </x:row>
    <x:row r="37" ht="15" hidden="0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45" hidden="0" customHeight="1">
      <x:c r="A38" s="1"/>
      <x:c r="B38" s="1"/>
      <x:c r="C38" s="53" t="s">
        <x:v>401</x:v>
      </x:c>
      <x:c r="D38" s="54" t="s">
        <x:v>402</x:v>
      </x:c>
      <x:c r="E38" s="54" t="s">
        <x:v>403</x:v>
      </x:c>
      <x:c r="F38" s="54" t="s">
        <x:v>404</x:v>
      </x:c>
      <x:c r="G38" s="54" t="s">
        <x:v>405</x:v>
      </x:c>
      <x:c r="H38" s="54" t="s">
        <x:v>406</x:v>
      </x:c>
      <x:c r="I38" s="1"/>
      <x:c r="J38" s="1"/>
      <x:c r="K38" s="1"/>
      <x:c r="L38" s="1"/>
    </x:row>
    <x:row r="39" ht="45" hidden="0" customHeight="1">
      <x:c r="A39" s="1"/>
      <x:c r="B39" s="1"/>
      <x:c r="C39" s="54" t="s">
        <x:v>407</x:v>
      </x:c>
      <x:c r="D39" s="54" t="s">
        <x:v>408</x:v>
      </x:c>
      <x:c r="E39" s="54" t="s">
        <x:v>409</x:v>
      </x:c>
      <x:c r="F39" s="54" t="s">
        <x:v>45</x:v>
      </x:c>
      <x:c r="G39" s="54" t="s">
        <x:v>410</x:v>
      </x:c>
      <x:c r="H39" s="54" t="s">
        <x:v>411</x:v>
      </x:c>
      <x:c r="I39" s="1"/>
      <x:c r="J39" s="1"/>
      <x:c r="K39" s="1"/>
      <x:c r="L39" s="1"/>
    </x:row>
    <x:row r="40" ht="45" hidden="0" customHeight="1">
      <x:c r="A40" s="1"/>
      <x:c r="B40" s="1"/>
      <x:c r="C40" s="54" t="s">
        <x:v>412</x:v>
      </x:c>
      <x:c r="D40" s="54" t="s">
        <x:v>413</x:v>
      </x:c>
      <x:c r="E40" s="54" t="s">
        <x:v>414</x:v>
      </x:c>
      <x:c r="F40" s="54" t="s">
        <x:v>415</x:v>
      </x:c>
      <x:c r="G40" s="54" t="s">
        <x:v>416</x:v>
      </x:c>
      <x:c r="H40" s="54" t="s">
        <x:v>417</x:v>
      </x:c>
      <x:c r="I40" s="1"/>
      <x:c r="J40" s="1"/>
      <x:c r="K40" s="1"/>
      <x:c r="L40" s="1"/>
    </x:row>
    <x:row r="41" ht="45" hidden="0" customHeight="1">
      <x:c r="A41" s="1"/>
      <x:c r="B41" s="1"/>
      <x:c r="C41" s="54" t="s">
        <x:v>418</x:v>
      </x:c>
      <x:c r="D41" s="54" t="s">
        <x:v>419</x:v>
      </x:c>
      <x:c r="E41" s="54" t="s">
        <x:v>420</x:v>
      </x:c>
      <x:c r="F41" s="54" t="s">
        <x:v>36</x:v>
      </x:c>
      <x:c r="G41" s="54" t="s">
        <x:v>421</x:v>
      </x:c>
      <x:c r="H41" s="54" t="s">
        <x:v>422</x:v>
      </x:c>
      <x:c r="I41" s="1"/>
      <x:c r="J41" s="1"/>
      <x:c r="K41" s="1"/>
      <x:c r="L41" s="1"/>
    </x:row>
    <x:row r="42" ht="45" hidden="0" customHeight="1">
      <x:c r="A42" s="1"/>
      <x:c r="B42" s="1"/>
      <x:c r="C42" s="54" t="s">
        <x:v>423</x:v>
      </x:c>
      <x:c r="D42" s="54" t="s">
        <x:v>424</x:v>
      </x:c>
      <x:c r="E42" s="54" t="s">
        <x:v>425</x:v>
      </x:c>
      <x:c r="F42" s="54" t="s">
        <x:v>341</x:v>
      </x:c>
      <x:c r="G42" s="54" t="s">
        <x:v>426</x:v>
      </x:c>
      <x:c r="H42" s="54" t="s">
        <x:v>427</x:v>
      </x:c>
      <x:c r="I42" s="1"/>
      <x:c r="J42" s="1"/>
      <x:c r="K42" s="1"/>
      <x:c r="L42" s="1"/>
    </x:row>
    <x:row r="43" ht="15" hidden="0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15" hidden="0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15" hidden="0">
      <x:c r="A45" s="1"/>
      <x:c r="B45" s="1"/>
      <x:c r="C45" s="51" t="s">
        <x:v>428</x:v>
      </x:c>
      <x:c r="D45" s="52"/>
      <x:c r="E45" s="52"/>
      <x:c r="F45" s="52"/>
      <x:c r="G45" s="52"/>
      <x:c r="H45" s="52"/>
      <x:c r="I45" s="1"/>
      <x:c r="J45" s="1"/>
      <x:c r="K45" s="1"/>
      <x:c r="L45" s="1"/>
    </x:row>
    <x:row r="46" ht="15" hidden="0">
      <x:c r="A46" s="1"/>
      <x:c r="B46" s="1"/>
      <x:c r="C46" s="51" t="s">
        <x:v>296</x:v>
      </x:c>
      <x:c r="D46" s="51" t="s">
        <x:v>429</x:v>
      </x:c>
      <x:c r="E46" s="51" t="s">
        <x:v>430</x:v>
      </x:c>
      <x:c r="F46" s="51" t="s">
        <x:v>431</x:v>
      </x:c>
      <x:c r="G46" s="51" t="s">
        <x:v>432</x:v>
      </x:c>
      <x:c r="H46" s="51" t="s">
        <x:v>31</x:v>
      </x:c>
      <x:c r="I46" s="1"/>
      <x:c r="J46" s="1"/>
      <x:c r="K46" s="1"/>
      <x:c r="L46" s="1"/>
    </x:row>
    <x:row r="47" ht="39.75" hidden="0" customHeight="1">
      <x:c r="A47" s="1"/>
      <x:c r="B47" s="1"/>
      <x:c r="C47" s="121" t="s">
        <x:v>433</x:v>
      </x:c>
      <x:c r="D47" s="59" t="s">
        <x:v>434</x:v>
      </x:c>
      <x:c r="E47" s="121" t="s">
        <x:v>435</x:v>
      </x:c>
      <x:c r="F47" s="121" t="s">
        <x:v>436</x:v>
      </x:c>
      <x:c r="G47" s="59" t="s">
        <x:v>437</x:v>
      </x:c>
      <x:c r="H47" s="53" t="s">
        <x:v>45</x:v>
      </x:c>
      <x:c r="I47" s="1"/>
      <x:c r="J47" s="1"/>
      <x:c r="K47" s="1"/>
      <x:c r="L47" s="1"/>
    </x:row>
    <x:row r="48" ht="39.75" hidden="0" customHeight="1">
      <x:c r="A48" s="1"/>
      <x:c r="B48" s="1"/>
      <x:c r="C48" s="121" t="s">
        <x:v>438</x:v>
      </x:c>
      <x:c r="D48" s="59" t="s">
        <x:v>439</x:v>
      </x:c>
      <x:c r="E48" s="121" t="s">
        <x:v>440</x:v>
      </x:c>
      <x:c r="F48" s="121" t="s">
        <x:v>441</x:v>
      </x:c>
      <x:c r="G48" s="59" t="s">
        <x:v>442</x:v>
      </x:c>
      <x:c r="H48" s="53" t="s">
        <x:v>45</x:v>
      </x:c>
      <x:c r="I48" s="1"/>
      <x:c r="J48" s="1"/>
      <x:c r="K48" s="1"/>
      <x:c r="L48" s="1"/>
    </x:row>
    <x:row r="49" ht="39.75" hidden="0" customHeight="1">
      <x:c r="A49" s="1"/>
      <x:c r="B49" s="1"/>
      <x:c r="C49" s="121" t="s">
        <x:v>443</x:v>
      </x:c>
      <x:c r="D49" s="59" t="s">
        <x:v>444</x:v>
      </x:c>
      <x:c r="E49" s="121" t="s">
        <x:v>445</x:v>
      </x:c>
      <x:c r="F49" s="121" t="s">
        <x:v>446</x:v>
      </x:c>
      <x:c r="G49" s="59" t="s">
        <x:v>447</x:v>
      </x:c>
      <x:c r="H49" s="53" t="s">
        <x:v>448</x:v>
      </x:c>
      <x:c r="I49" s="1"/>
      <x:c r="J49" s="1"/>
      <x:c r="K49" s="1"/>
      <x:c r="L49" s="1"/>
    </x:row>
    <x:row r="50" ht="39.75" hidden="0" customHeight="1">
      <x:c r="A50" s="1"/>
      <x:c r="B50" s="1"/>
      <x:c r="C50" s="121" t="str">
        <x:v>Эффективный спрос — базовый сценарий 2026–2035, млн м²/год</x:v>
      </x:c>
      <x:c r="D50" s="59" t="s">
        <x:v>449</x:v>
      </x:c>
      <x:c r="E50" s="121" t="s">
        <x:v>450</x:v>
      </x:c>
      <x:c r="F50" s="121" t="s">
        <x:v>446</x:v>
      </x:c>
      <x:c r="G50" s="59" t="s">
        <x:v>451</x:v>
      </x:c>
      <x:c r="H50" s="53" t="s">
        <x:v>452</x:v>
      </x:c>
      <x:c r="I50" s="1"/>
      <x:c r="J50" s="1"/>
      <x:c r="K50" s="1"/>
      <x:c r="L50" s="1"/>
    </x:row>
    <x:row r="51" ht="39.75" hidden="0" customHeight="1">
      <x:c r="A51" s="1"/>
      <x:c r="B51" s="1"/>
      <x:c r="C51" s="121" t="str">
        <x:v>Продажи 2026 — базовый сценарий</x:v>
      </x:c>
      <x:c r="D51" s="59" t="s">
        <x:v>453</x:v>
      </x:c>
      <x:c r="E51" s="121" t="s">
        <x:v>454</x:v>
      </x:c>
      <x:c r="F51" s="121" t="s">
        <x:v>446</x:v>
      </x:c>
      <x:c r="G51" s="59" t="s">
        <x:v>455</x:v>
      </x:c>
      <x:c r="H51" s="53" t="s">
        <x:v>456</x:v>
      </x:c>
      <x:c r="I51" s="1"/>
      <x:c r="J51" s="1"/>
      <x:c r="K51" s="1"/>
      <x:c r="L51" s="1"/>
    </x:row>
    <x:row r="52" ht="39.75" hidden="0" customHeight="1">
      <x:c r="A52" s="1"/>
      <x:c r="B52" s="1"/>
      <x:c r="C52" s="121" t="s">
        <x:v>457</x:v>
      </x:c>
      <x:c r="D52" s="59" t="s">
        <x:v>458</x:v>
      </x:c>
      <x:c r="E52" s="121" t="s">
        <x:v>459</x:v>
      </x:c>
      <x:c r="F52" s="121" t="s">
        <x:v>460</x:v>
      </x:c>
      <x:c r="G52" s="59" t="s">
        <x:v>461</x:v>
      </x:c>
      <x:c r="H52" s="53" t="s">
        <x:v>415</x:v>
      </x:c>
      <x:c r="I52" s="1"/>
      <x:c r="J52" s="1"/>
      <x:c r="K52" s="1"/>
      <x:c r="L52" s="1"/>
    </x:row>
    <x:row r="53" ht="39.75" hidden="0" customHeight="1">
      <x:c r="A53" s="1"/>
      <x:c r="B53" s="1"/>
      <x:c r="C53" s="121" t="str">
        <x:v>Остаток на конец 2026 — базовый сценарий, млн м²</x:v>
      </x:c>
      <x:c r="D53" s="59" t="s">
        <x:v>462</x:v>
      </x:c>
      <x:c r="E53" s="121" t="s">
        <x:v>463</x:v>
      </x:c>
      <x:c r="F53" s="121" t="s">
        <x:v>446</x:v>
      </x:c>
      <x:c r="G53" s="59" t="s">
        <x:v>464</x:v>
      </x:c>
      <x:c r="H53" s="53" t="s">
        <x:v>145</x:v>
      </x:c>
      <x:c r="I53" s="1"/>
      <x:c r="J53" s="1"/>
      <x:c r="K53" s="1"/>
      <x:c r="L53" s="1"/>
    </x:row>
    <x:row r="54" ht="39.75" hidden="0" customHeight="1">
      <x:c r="A54" s="1"/>
      <x:c r="B54" s="1"/>
      <x:c r="C54" s="121" t="s">
        <x:v>465</x:v>
      </x:c>
      <x:c r="D54" s="59" t="s">
        <x:v>466</x:v>
      </x:c>
      <x:c r="E54" s="121" t="s">
        <x:v>467</x:v>
      </x:c>
      <x:c r="F54" s="121" t="s">
        <x:v>460</x:v>
      </x:c>
      <x:c r="G54" s="59" t="s">
        <x:v>468</x:v>
      </x:c>
      <x:c r="H54" s="53" t="s">
        <x:v>45</x:v>
      </x:c>
      <x:c r="I54" s="1"/>
      <x:c r="J54" s="1"/>
      <x:c r="K54" s="1"/>
      <x:c r="L54" s="1"/>
    </x:row>
    <x:row r="55" ht="39.75" hidden="0" customHeight="1">
      <x:c r="A55" s="1"/>
      <x:c r="B55" s="1"/>
      <x:c r="C55" s="121" t="s">
        <x:v>97</x:v>
      </x:c>
      <x:c r="D55" s="59" t="s">
        <x:v>419</x:v>
      </x:c>
      <x:c r="E55" s="121" t="s">
        <x:v>469</x:v>
      </x:c>
      <x:c r="F55" s="121" t="s">
        <x:v>460</x:v>
      </x:c>
      <x:c r="G55" s="59" t="s">
        <x:v>470</x:v>
      </x:c>
      <x:c r="H55" s="53" t="s">
        <x:v>36</x:v>
      </x:c>
      <x:c r="I55" s="1"/>
      <x:c r="J55" s="1"/>
      <x:c r="K55" s="1"/>
      <x:c r="L55" s="1"/>
    </x:row>
    <x:row r="56" ht="39.75" hidden="0" customHeight="1">
      <x:c r="C56" s="121" t="s">
        <x:v>471</x:v>
      </x:c>
      <x:c r="D56" s="59" t="s">
        <x:v>472</x:v>
      </x:c>
      <x:c r="E56" s="121" t="s">
        <x:v>473</x:v>
      </x:c>
      <x:c r="F56" s="121" t="s">
        <x:v>460</x:v>
      </x:c>
      <x:c r="G56" s="59" t="s">
        <x:v>474</x:v>
      </x:c>
      <x:c r="H56" s="105" t="s">
        <x:v>45</x:v>
      </x:c>
    </x:row>
    <x:row r="57" ht="39.75" hidden="0" customHeight="1">
      <x:c r="C57" s="121" t="str">
        <x:v>Базовый сценарий: спрос 2035, млн м²</x:v>
      </x:c>
      <x:c r="D57" s="59" t="s">
        <x:v>475</x:v>
      </x:c>
      <x:c r="E57" s="121" t="s">
        <x:v>476</x:v>
      </x:c>
      <x:c r="F57" s="121" t="s">
        <x:v>446</x:v>
      </x:c>
      <x:c r="G57" s="59" t="s">
        <x:v>477</x:v>
      </x:c>
      <x:c r="H57" s="105" t="s">
        <x:v>456</x:v>
      </x:c>
    </x:row>
    <x:row r="58" ht="39.75" hidden="0" customHeight="1">
      <x:c r="C58" s="121" t="str">
        <x:v>Оптимистичный сценарий: спрос 2035, млн м²</x:v>
      </x:c>
      <x:c r="D58" s="59" t="s">
        <x:v>478</x:v>
      </x:c>
      <x:c r="E58" s="121" t="s">
        <x:v>479</x:v>
      </x:c>
      <x:c r="F58" s="121" t="s">
        <x:v>446</x:v>
      </x:c>
      <x:c r="G58" s="59" t="s">
        <x:v>455</x:v>
      </x:c>
      <x:c r="H58" s="105" t="s">
        <x:v>456</x:v>
      </x:c>
    </x:row>
    <x:row r="59" ht="39.75" hidden="0" customHeight="1">
      <x:c r="C59" s="121" t="str">
        <x:v>Пессимистичный сценарий: спрос 2035, млн м²</x:v>
      </x:c>
      <x:c r="D59" s="59" t="s">
        <x:v>480</x:v>
      </x:c>
      <x:c r="E59" s="121" t="s">
        <x:v>481</x:v>
      </x:c>
      <x:c r="F59" s="121" t="s">
        <x:v>446</x:v>
      </x:c>
      <x:c r="G59" s="59" t="s">
        <x:v>455</x:v>
      </x:c>
      <x:c r="H59" s="105" t="s">
        <x:v>456</x:v>
      </x:c>
    </x:row>
    <x:row r="60" ht="39.75" hidden="0" customHeight="1">
      <x:c r="C60" s="121" t="s">
        <x:v>482</x:v>
      </x:c>
      <x:c r="D60" s="59" t="str">
        <x:v>3–4 года — базовый сценарий</x:v>
      </x:c>
      <x:c r="E60" s="121" t="s">
        <x:v>483</x:v>
      </x:c>
      <x:c r="F60" s="121" t="s">
        <x:v>484</x:v>
      </x:c>
      <x:c r="G60" s="59" t="s">
        <x:v>485</x:v>
      </x:c>
      <x:c r="H60" s="105" t="s">
        <x:v>341</x:v>
      </x:c>
    </x:row>
  </x:sheetData>
  <x:conditionalFormatting sqref="G24:G36">
    <x:cfRule type="containsText" dxfId="0" priority="2" aboveAverage="0" percent="0" bottom="0" operator="containsText" text="GREEN" rank="0" equalAverage="0">
      <x:formula>NOT(ISERROR(SEARCH("GREEN",G24)))</x:formula>
    </x:cfRule>
    <x:cfRule type="containsText" dxfId="1" priority="3" aboveAverage="0" percent="0" bottom="0" operator="containsText" text="YELLOW" rank="0" equalAverage="0">
      <x:formula>NOT(ISERROR(SEARCH("YELLOW",G24)))</x:formula>
    </x:cfRule>
    <x:cfRule type="containsText" dxfId="2" priority="4" aboveAverage="0" percent="0" bottom="0" operator="containsText" text="RED" rank="0" equalAverage="0">
      <x:formula>NOT(ISERROR(SEARCH("RED",G24)))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2" width="2.200000047683716" hidden="0" customWidth="1"/>
    <x:col min="3" max="3" width="23" hidden="0" customWidth="1"/>
    <x:col min="4" max="4" width="52" hidden="0" customWidth="1"/>
    <x:col min="5" max="5" width="15" hidden="0" customWidth="1"/>
    <x:col min="6" max="6" width="11" hidden="0" customWidth="1"/>
    <x:col min="7" max="7" width="70" hidden="0" customWidth="1"/>
    <x:col min="8" max="8" width="15" hidden="0" customWidth="1"/>
  </x:cols>
  <x:sheetData>
    <x:row r="1" ht="15" hidden="0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5.5" hidden="0" customHeight="1">
      <x:c r="A2" s="1"/>
      <x:c r="B2" s="1"/>
      <x:c r="C2" s="2" t="s">
        <x:v>486</x:v>
      </x:c>
      <x:c r="D2" s="1"/>
      <x:c r="E2" s="1"/>
      <x:c r="F2" s="1"/>
      <x:c r="G2" s="1"/>
      <x:c r="H2" s="1"/>
      <x:c r="I2" s="1"/>
      <x:c r="J2" s="1"/>
    </x:row>
    <x:row r="3" ht="15" hidden="0">
      <x:c r="A3" s="1"/>
      <x:c r="B3" s="1"/>
      <x:c r="C3" s="3"/>
      <x:c r="D3" s="3"/>
      <x:c r="E3" s="3"/>
      <x:c r="F3" s="3"/>
      <x:c r="G3" s="3"/>
      <x:c r="H3" s="3"/>
      <x:c r="I3" s="3"/>
      <x:c r="J3" s="3"/>
    </x:row>
    <x:row r="4" ht="15" hidden="0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27.75" hidden="0" customHeight="1">
      <x:c r="A5" s="1"/>
      <x:c r="B5" s="1"/>
      <x:c r="C5" s="18" t="s">
        <x:v>487</x:v>
      </x:c>
      <x:c r="D5" s="19" t="s">
        <x:v>488</x:v>
      </x:c>
      <x:c r="E5" s="19" t="s">
        <x:v>489</x:v>
      </x:c>
      <x:c r="F5" s="19" t="s">
        <x:v>490</x:v>
      </x:c>
      <x:c r="G5" s="19" t="s">
        <x:v>491</x:v>
      </x:c>
      <x:c r="H5" s="20" t="s">
        <x:v>492</x:v>
      </x:c>
      <x:c r="I5" s="1"/>
      <x:c r="J5" s="1"/>
    </x:row>
    <x:row r="6" ht="23.850000381469727" hidden="0">
      <x:c r="A6" s="1"/>
      <x:c r="B6" s="1"/>
      <x:c r="C6" s="5" t="s">
        <x:v>305</x:v>
      </x:c>
      <x:c r="D6" s="13" t="s">
        <x:v>493</x:v>
      </x:c>
      <x:c r="E6" s="5" t="s">
        <x:v>494</x:v>
      </x:c>
      <x:c r="F6" s="5" t="s">
        <x:v>495</x:v>
      </x:c>
      <x:c r="G6" s="124" t="s">
        <x:v>496</x:v>
      </x:c>
      <x:c r="H6" s="5" t="s">
        <x:v>497</x:v>
      </x:c>
      <x:c r="I6" s="1"/>
      <x:c r="J6" s="1"/>
    </x:row>
    <x:row r="7" ht="15" hidden="0">
      <x:c r="A7" s="1"/>
      <x:c r="B7" s="1"/>
      <x:c r="C7" s="22" t="s">
        <x:v>305</x:v>
      </x:c>
      <x:c r="D7" s="15" t="s">
        <x:v>498</x:v>
      </x:c>
      <x:c r="E7" s="22" t="s">
        <x:v>499</x:v>
      </x:c>
      <x:c r="F7" s="22" t="s">
        <x:v>495</x:v>
      </x:c>
      <x:c r="G7" s="125" t="s">
        <x:v>500</x:v>
      </x:c>
      <x:c r="H7" s="22" t="s">
        <x:v>497</x:v>
      </x:c>
      <x:c r="I7" s="1"/>
      <x:c r="J7" s="1"/>
    </x:row>
    <x:row r="8" ht="23.850000381469727" hidden="0">
      <x:c r="A8" s="1"/>
      <x:c r="B8" s="1"/>
      <x:c r="C8" s="22" t="s">
        <x:v>305</x:v>
      </x:c>
      <x:c r="D8" s="15" t="s">
        <x:v>501</x:v>
      </x:c>
      <x:c r="E8" s="22" t="s">
        <x:v>494</x:v>
      </x:c>
      <x:c r="F8" s="22" t="s">
        <x:v>495</x:v>
      </x:c>
      <x:c r="G8" s="125" t="s">
        <x:v>502</x:v>
      </x:c>
      <x:c r="H8" s="22" t="s">
        <x:v>497</x:v>
      </x:c>
      <x:c r="I8" s="1"/>
      <x:c r="J8" s="1"/>
    </x:row>
    <x:row r="9" ht="15" hidden="0">
      <x:c r="A9" s="1"/>
      <x:c r="B9" s="1"/>
      <x:c r="C9" s="22" t="s">
        <x:v>305</x:v>
      </x:c>
      <x:c r="D9" s="15" t="s">
        <x:v>503</x:v>
      </x:c>
      <x:c r="E9" s="22" t="s">
        <x:v>504</x:v>
      </x:c>
      <x:c r="F9" s="22" t="s">
        <x:v>495</x:v>
      </x:c>
      <x:c r="G9" s="125" t="s">
        <x:v>505</x:v>
      </x:c>
      <x:c r="H9" s="22" t="s">
        <x:v>497</x:v>
      </x:c>
      <x:c r="I9" s="1"/>
      <x:c r="J9" s="1"/>
    </x:row>
    <x:row r="10" ht="15" hidden="0">
      <x:c r="A10" s="1"/>
      <x:c r="B10" s="1"/>
      <x:c r="C10" s="22" t="s">
        <x:v>305</x:v>
      </x:c>
      <x:c r="D10" s="15" t="s">
        <x:v>506</x:v>
      </x:c>
      <x:c r="E10" s="22" t="s">
        <x:v>507</x:v>
      </x:c>
      <x:c r="F10" s="22" t="s">
        <x:v>495</x:v>
      </x:c>
      <x:c r="G10" s="125" t="s">
        <x:v>508</x:v>
      </x:c>
      <x:c r="H10" s="22" t="s">
        <x:v>497</x:v>
      </x:c>
      <x:c r="I10" s="1"/>
      <x:c r="J10" s="1"/>
    </x:row>
    <x:row r="11" ht="15" hidden="0">
      <x:c r="A11" s="1"/>
      <x:c r="B11" s="1"/>
      <x:c r="C11" s="22" t="s">
        <x:v>509</x:v>
      </x:c>
      <x:c r="D11" s="15" t="s">
        <x:v>510</x:v>
      </x:c>
      <x:c r="E11" s="22" t="s">
        <x:v>511</x:v>
      </x:c>
      <x:c r="F11" s="22" t="s">
        <x:v>495</x:v>
      </x:c>
      <x:c r="G11" s="125" t="s">
        <x:v>512</x:v>
      </x:c>
      <x:c r="H11" s="22" t="s">
        <x:v>497</x:v>
      </x:c>
      <x:c r="I11" s="1"/>
      <x:c r="J11" s="1"/>
    </x:row>
    <x:row r="12" ht="15" hidden="0">
      <x:c r="A12" s="1"/>
      <x:c r="B12" s="1"/>
      <x:c r="C12" s="22" t="s">
        <x:v>509</x:v>
      </x:c>
      <x:c r="D12" s="15" t="s">
        <x:v>513</x:v>
      </x:c>
      <x:c r="E12" s="22" t="s">
        <x:v>514</x:v>
      </x:c>
      <x:c r="F12" s="22" t="s">
        <x:v>495</x:v>
      </x:c>
      <x:c r="G12" s="125" t="s">
        <x:v>515</x:v>
      </x:c>
      <x:c r="H12" s="22" t="s">
        <x:v>497</x:v>
      </x:c>
      <x:c r="I12" s="1"/>
      <x:c r="J12" s="1"/>
    </x:row>
    <x:row r="13" ht="15" hidden="0">
      <x:c r="A13" s="1"/>
      <x:c r="B13" s="1"/>
      <x:c r="C13" s="22" t="s">
        <x:v>509</x:v>
      </x:c>
      <x:c r="D13" s="15" t="s">
        <x:v>516</x:v>
      </x:c>
      <x:c r="E13" s="22" t="s">
        <x:v>517</x:v>
      </x:c>
      <x:c r="F13" s="22" t="s">
        <x:v>495</x:v>
      </x:c>
      <x:c r="G13" s="125" t="s">
        <x:v>518</x:v>
      </x:c>
      <x:c r="H13" s="22" t="s">
        <x:v>497</x:v>
      </x:c>
      <x:c r="I13" s="1"/>
      <x:c r="J13" s="1"/>
    </x:row>
    <x:row r="14" ht="15" hidden="0">
      <x:c r="A14" s="1"/>
      <x:c r="B14" s="1"/>
      <x:c r="C14" s="22" t="s">
        <x:v>519</x:v>
      </x:c>
      <x:c r="D14" s="15" t="s">
        <x:v>520</x:v>
      </x:c>
      <x:c r="E14" s="22" t="s">
        <x:v>521</x:v>
      </x:c>
      <x:c r="F14" s="22" t="s">
        <x:v>522</x:v>
      </x:c>
      <x:c r="G14" s="125" t="s">
        <x:v>523</x:v>
      </x:c>
      <x:c r="H14" s="22" t="s">
        <x:v>497</x:v>
      </x:c>
      <x:c r="I14" s="1"/>
      <x:c r="J14" s="1"/>
    </x:row>
    <x:row r="15" ht="15" hidden="0">
      <x:c r="A15" s="1"/>
      <x:c r="B15" s="1"/>
      <x:c r="C15" s="22" t="s">
        <x:v>305</x:v>
      </x:c>
      <x:c r="D15" s="15" t="s">
        <x:v>524</x:v>
      </x:c>
      <x:c r="E15" s="22" t="s">
        <x:v>525</x:v>
      </x:c>
      <x:c r="F15" s="22" t="s">
        <x:v>495</x:v>
      </x:c>
      <x:c r="G15" s="125" t="s">
        <x:v>526</x:v>
      </x:c>
      <x:c r="H15" s="22" t="s">
        <x:v>497</x:v>
      </x:c>
      <x:c r="I15" s="1"/>
      <x:c r="J15" s="1"/>
    </x:row>
    <x:row r="16" ht="15" hidden="0">
      <x:c r="A16" s="1"/>
      <x:c r="B16" s="1"/>
      <x:c r="C16" s="22" t="s">
        <x:v>527</x:v>
      </x:c>
      <x:c r="D16" s="15" t="s">
        <x:v>528</x:v>
      </x:c>
      <x:c r="E16" s="22" t="s">
        <x:v>525</x:v>
      </x:c>
      <x:c r="F16" s="22" t="s">
        <x:v>495</x:v>
      </x:c>
      <x:c r="G16" s="125" t="s">
        <x:v>529</x:v>
      </x:c>
      <x:c r="H16" s="22" t="s">
        <x:v>497</x:v>
      </x:c>
      <x:c r="I16" s="1"/>
      <x:c r="J16" s="1"/>
    </x:row>
    <x:row r="17" ht="15" hidden="0">
      <x:c r="A17" s="1"/>
      <x:c r="B17" s="1"/>
      <x:c r="C17" s="22" t="s">
        <x:v>530</x:v>
      </x:c>
      <x:c r="D17" s="15" t="s">
        <x:v>531</x:v>
      </x:c>
      <x:c r="E17" s="22" t="s">
        <x:v>517</x:v>
      </x:c>
      <x:c r="F17" s="22" t="s">
        <x:v>495</x:v>
      </x:c>
      <x:c r="G17" s="125" t="s">
        <x:v>532</x:v>
      </x:c>
      <x:c r="H17" s="22" t="s">
        <x:v>497</x:v>
      </x:c>
      <x:c r="I17" s="1"/>
      <x:c r="J17" s="1"/>
    </x:row>
    <x:row r="18" ht="15" hidden="0">
      <x:c r="A18" s="1"/>
      <x:c r="B18" s="1"/>
      <x:c r="C18" s="22" t="s">
        <x:v>326</x:v>
      </x:c>
      <x:c r="D18" s="15" t="s">
        <x:v>533</x:v>
      </x:c>
      <x:c r="E18" s="22" t="s">
        <x:v>534</x:v>
      </x:c>
      <x:c r="F18" s="22" t="s">
        <x:v>495</x:v>
      </x:c>
      <x:c r="G18" s="125" t="s">
        <x:v>535</x:v>
      </x:c>
      <x:c r="H18" s="22" t="s">
        <x:v>497</x:v>
      </x:c>
      <x:c r="I18" s="1"/>
      <x:c r="J18" s="1"/>
    </x:row>
    <x:row r="19" ht="15" hidden="0">
      <x:c r="A19" s="1"/>
      <x:c r="B19" s="1"/>
      <x:c r="C19" s="22" t="s">
        <x:v>305</x:v>
      </x:c>
      <x:c r="D19" s="15" t="s">
        <x:v>536</x:v>
      </x:c>
      <x:c r="E19" s="22" t="s">
        <x:v>517</x:v>
      </x:c>
      <x:c r="F19" s="22" t="s">
        <x:v>495</x:v>
      </x:c>
      <x:c r="G19" s="125" t="s">
        <x:v>537</x:v>
      </x:c>
      <x:c r="H19" s="22" t="s">
        <x:v>497</x:v>
      </x:c>
      <x:c r="I19" s="1"/>
      <x:c r="J19" s="1"/>
    </x:row>
    <x:row r="20" ht="15" hidden="0">
      <x:c r="A20" s="1"/>
      <x:c r="B20" s="1"/>
      <x:c r="C20" s="22" t="s">
        <x:v>538</x:v>
      </x:c>
      <x:c r="D20" s="15" t="s">
        <x:v>539</x:v>
      </x:c>
      <x:c r="E20" s="22" t="s">
        <x:v>540</x:v>
      </x:c>
      <x:c r="F20" s="22" t="s">
        <x:v>495</x:v>
      </x:c>
      <x:c r="G20" s="125" t="s">
        <x:v>541</x:v>
      </x:c>
      <x:c r="H20" s="22" t="s">
        <x:v>497</x:v>
      </x:c>
      <x:c r="I20" s="1"/>
      <x:c r="J20" s="1"/>
    </x:row>
    <x:row r="21" ht="23.850000381469727" hidden="0">
      <x:c r="A21" s="1"/>
      <x:c r="B21" s="1"/>
      <x:c r="C21" s="22" t="s">
        <x:v>542</x:v>
      </x:c>
      <x:c r="D21" s="15" t="s">
        <x:v>543</x:v>
      </x:c>
      <x:c r="E21" s="22" t="s">
        <x:v>517</x:v>
      </x:c>
      <x:c r="F21" s="22" t="s">
        <x:v>495</x:v>
      </x:c>
      <x:c r="G21" s="125" t="s">
        <x:v>544</x:v>
      </x:c>
      <x:c r="H21" s="22" t="s">
        <x:v>497</x:v>
      </x:c>
      <x:c r="I21" s="1"/>
      <x:c r="J21" s="1"/>
    </x:row>
    <x:row r="22" ht="15" hidden="0">
      <x:c r="A22" s="1"/>
      <x:c r="B22" s="1"/>
      <x:c r="C22" s="22" t="s">
        <x:v>545</x:v>
      </x:c>
      <x:c r="D22" s="15" t="s">
        <x:v>546</x:v>
      </x:c>
      <x:c r="E22" s="22" t="s">
        <x:v>521</x:v>
      </x:c>
      <x:c r="F22" s="22" t="s">
        <x:v>547</x:v>
      </x:c>
      <x:c r="G22" s="125" t="s">
        <x:v>548</x:v>
      </x:c>
      <x:c r="H22" s="22" t="s">
        <x:v>497</x:v>
      </x:c>
      <x:c r="I22" s="1"/>
      <x:c r="J22" s="1"/>
    </x:row>
    <x:row r="23" ht="15" hidden="0">
      <x:c r="A23" s="1"/>
      <x:c r="B23" s="1"/>
      <x:c r="C23" s="22" t="s">
        <x:v>549</x:v>
      </x:c>
      <x:c r="D23" s="15" t="s">
        <x:v>550</x:v>
      </x:c>
      <x:c r="E23" s="22" t="s">
        <x:v>551</x:v>
      </x:c>
      <x:c r="F23" s="22" t="s">
        <x:v>522</x:v>
      </x:c>
      <x:c r="G23" s="125" t="s">
        <x:v>552</x:v>
      </x:c>
      <x:c r="H23" s="22" t="s">
        <x:v>497</x:v>
      </x:c>
      <x:c r="I23" s="1"/>
      <x:c r="J23" s="1"/>
    </x:row>
    <x:row r="24" ht="15" hidden="0">
      <x:c r="A24" s="1"/>
      <x:c r="B24" s="1"/>
      <x:c r="C24" s="22" t="s">
        <x:v>553</x:v>
      </x:c>
      <x:c r="D24" s="15" t="s">
        <x:v>554</x:v>
      </x:c>
      <x:c r="E24" s="22" t="s">
        <x:v>494</x:v>
      </x:c>
      <x:c r="F24" s="22" t="s">
        <x:v>495</x:v>
      </x:c>
      <x:c r="G24" s="125" t="s">
        <x:v>555</x:v>
      </x:c>
      <x:c r="H24" s="22" t="s">
        <x:v>497</x:v>
      </x:c>
      <x:c r="I24" s="1"/>
      <x:c r="J24" s="1"/>
    </x:row>
    <x:row r="25" ht="15" hidden="0">
      <x:c r="A25" s="1"/>
      <x:c r="B25" s="1"/>
      <x:c r="C25" s="24" t="s">
        <x:v>305</x:v>
      </x:c>
      <x:c r="D25" s="17" t="s">
        <x:v>556</x:v>
      </x:c>
      <x:c r="E25" s="24" t="s">
        <x:v>517</x:v>
      </x:c>
      <x:c r="F25" s="24" t="s">
        <x:v>495</x:v>
      </x:c>
      <x:c r="G25" s="126" t="s">
        <x:v>557</x:v>
      </x:c>
      <x:c r="H25" s="24" t="s">
        <x:v>497</x:v>
      </x:c>
      <x:c r="I25" s="1"/>
      <x:c r="J25" s="1"/>
    </x:row>
    <x:row r="26" ht="15" hidden="0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 ht="15" hidden="0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 ht="15" hidden="0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 ht="43.25" hidden="0">
      <x:c r="A29" s="1"/>
      <x:c r="B29" s="1"/>
      <x:c r="C29" s="26" t="s">
        <x:v>558</x:v>
      </x:c>
      <x:c r="D29" s="27" t="s">
        <x:v>559</x:v>
      </x:c>
      <x:c r="E29" s="27"/>
      <x:c r="F29" s="27"/>
      <x:c r="G29" s="27"/>
      <x:c r="H29" s="27"/>
      <x:c r="I29" s="1"/>
      <x:c r="J29" s="1"/>
    </x:row>
    <x:row r="30" ht="43.25" hidden="0">
      <x:c r="A30" s="1"/>
      <x:c r="B30" s="1"/>
      <x:c r="C30" s="26" t="s">
        <x:v>560</x:v>
      </x:c>
      <x:c r="D30" s="27" t="s">
        <x:v>561</x:v>
      </x:c>
      <x:c r="E30" s="27"/>
      <x:c r="F30" s="27"/>
      <x:c r="G30" s="27"/>
      <x:c r="H30" s="27"/>
      <x:c r="I30" s="1"/>
      <x:c r="J30" s="1"/>
    </x:row>
    <x:row r="31" ht="22.350000381469727" hidden="0">
      <x:c r="A31" s="1"/>
      <x:c r="B31" s="1"/>
      <x:c r="C31" s="26" t="s">
        <x:v>133</x:v>
      </x:c>
      <x:c r="D31" s="27" t="s">
        <x:v>562</x:v>
      </x:c>
      <x:c r="E31" s="27"/>
      <x:c r="F31" s="27"/>
      <x:c r="G31" s="27"/>
      <x:c r="H31" s="27"/>
      <x:c r="I31" s="1"/>
      <x:c r="J31" s="1"/>
    </x:row>
    <x:row r="32" ht="22.350000381469727" hidden="0">
      <x:c r="A32" s="1"/>
      <x:c r="B32" s="1"/>
      <x:c r="C32" s="26" t="s">
        <x:v>563</x:v>
      </x:c>
      <x:c r="D32" s="27" t="s">
        <x:v>564</x:v>
      </x:c>
      <x:c r="E32" s="27"/>
      <x:c r="F32" s="27"/>
      <x:c r="G32" s="27"/>
      <x:c r="H32" s="27"/>
      <x:c r="I32" s="1"/>
      <x:c r="J32" s="1"/>
    </x:row>
    <x:row r="33" ht="15" hidden="0">
      <x:c r="A33" s="1"/>
      <x:c r="B33" s="1"/>
      <x:c r="C33" s="1"/>
      <x:c r="D33" s="1"/>
      <x:c r="E33" s="1"/>
      <x:c r="F33" s="1"/>
      <x:c r="G33" s="1"/>
      <x:c r="H33" s="1"/>
      <x:c r="I33" s="1"/>
      <x:c r="J33" s="1"/>
    </x:row>
    <x:row r="34" ht="15" hidden="0">
      <x:c r="A34" s="1"/>
      <x:c r="B34" s="1"/>
      <x:c r="C34" s="1"/>
      <x:c r="D34" s="1"/>
      <x:c r="E34" s="1"/>
      <x:c r="F34" s="1"/>
      <x:c r="G34" s="1"/>
      <x:c r="H34" s="1"/>
      <x:c r="I34" s="1"/>
      <x:c r="J34" s="1"/>
    </x:row>
    <x:row r="35" ht="15" hidden="0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 ht="15" hidden="0">
      <x:c r="A36" s="1"/>
      <x:c r="B36" s="1"/>
      <x:c r="C36" s="1"/>
      <x:c r="D36" s="1"/>
      <x:c r="E36" s="1"/>
      <x:c r="F36" s="1"/>
      <x:c r="G36" s="1"/>
      <x:c r="H36" s="1"/>
      <x:c r="I36" s="1"/>
      <x:c r="J36" s="1"/>
    </x:row>
    <x:row r="37" ht="15" hidden="0">
      <x:c r="A37" s="1"/>
      <x:c r="B37" s="1"/>
      <x:c r="C37" s="1"/>
      <x:c r="D37" s="1"/>
      <x:c r="E37" s="1"/>
      <x:c r="F37" s="1"/>
      <x:c r="G37" s="1"/>
      <x:c r="H37" s="1"/>
      <x:c r="I37" s="1"/>
      <x:c r="J37" s="1"/>
    </x:row>
    <x:row r="38" ht="15" hidden="0">
      <x:c r="A38" s="1"/>
      <x:c r="B38" s="1"/>
      <x:c r="C38" s="1"/>
      <x:c r="D38" s="1"/>
      <x:c r="E38" s="1"/>
      <x:c r="F38" s="1"/>
      <x:c r="G38" s="1"/>
      <x:c r="H38" s="1"/>
      <x:c r="I38" s="1"/>
      <x:c r="J38" s="1"/>
    </x:row>
    <x:row r="39" ht="15" hidden="0">
      <x:c r="A39" s="1"/>
      <x:c r="B39" s="1"/>
      <x:c r="C39" s="1"/>
      <x:c r="D39" s="1"/>
      <x:c r="E39" s="1"/>
      <x:c r="F39" s="1"/>
      <x:c r="G39" s="1"/>
      <x:c r="H39" s="1"/>
      <x:c r="I39" s="1"/>
      <x:c r="J39" s="1"/>
    </x:row>
    <x:row r="40" ht="15" hidden="0">
      <x:c r="A40" s="1"/>
      <x:c r="B40" s="1"/>
      <x:c r="C40" s="1"/>
      <x:c r="D40" s="1"/>
      <x:c r="E40" s="1"/>
      <x:c r="F40" s="1"/>
      <x:c r="G40" s="1"/>
      <x:c r="H40" s="1"/>
      <x:c r="I40" s="1"/>
      <x:c r="J40" s="1"/>
    </x:row>
    <x:row r="41" ht="15" hidden="0">
      <x:c r="A41" s="1"/>
      <x:c r="B41" s="1"/>
      <x:c r="C41" s="1"/>
      <x:c r="D41" s="1"/>
      <x:c r="E41" s="1"/>
      <x:c r="F41" s="1"/>
      <x:c r="G41" s="1"/>
      <x:c r="H41" s="1"/>
      <x:c r="I41" s="1"/>
      <x:c r="J41" s="1"/>
    </x:row>
    <x:row r="42" ht="15" hidden="0">
      <x:c r="A42" s="1"/>
      <x:c r="B42" s="1"/>
      <x:c r="C42" s="1"/>
      <x:c r="D42" s="1"/>
      <x:c r="E42" s="1"/>
      <x:c r="F42" s="1"/>
      <x:c r="G42" s="1"/>
      <x:c r="H42" s="1"/>
      <x:c r="I42" s="1"/>
      <x:c r="J42" s="1"/>
    </x:row>
    <x:row r="43" ht="15" hidden="0">
      <x:c r="A43" s="1"/>
      <x:c r="B43" s="1"/>
      <x:c r="C43" s="1"/>
      <x:c r="D43" s="1"/>
      <x:c r="E43" s="1"/>
      <x:c r="F43" s="1"/>
      <x:c r="G43" s="1"/>
      <x:c r="H43" s="1"/>
      <x:c r="I43" s="1"/>
      <x:c r="J43" s="1"/>
    </x:row>
    <x:row r="44" ht="15" hidden="0">
      <x:c r="A44" s="1"/>
      <x:c r="B44" s="1"/>
      <x:c r="C44" s="1"/>
      <x:c r="D44" s="1"/>
      <x:c r="E44" s="1"/>
      <x:c r="F44" s="1"/>
      <x:c r="G44" s="1"/>
      <x:c r="H44" s="1"/>
      <x:c r="I44" s="1"/>
      <x:c r="J44" s="1"/>
    </x:row>
    <x:row r="45" ht="15" hidden="0">
      <x:c r="A45" s="1"/>
      <x:c r="B45" s="1"/>
      <x:c r="C45" s="1"/>
      <x:c r="D45" s="1"/>
      <x:c r="E45" s="1"/>
      <x:c r="F45" s="1"/>
      <x:c r="G45" s="1"/>
      <x:c r="H45" s="1"/>
      <x:c r="I45" s="1"/>
      <x:c r="J45" s="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667085"/>
  </x:sheetPr>
  <x:sheetViews>
    <x:sheetView showGridLines="0" workbookViewId="0"/>
  </x:sheetViews>
  <x:sheetFormatPr defaultColWidth="8.6796875" defaultRowHeight="15"/>
  <x:cols>
    <x:col min="1" max="2" width="2.200000047683716" hidden="0" customWidth="1"/>
    <x:col min="3" max="3" width="26" hidden="0" customWidth="1"/>
    <x:col min="4" max="4" width="78" hidden="0" customWidth="1"/>
  </x:cols>
  <x:sheetData>
    <x:row r="1" ht="15" hidden="0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5.5" hidden="0" customHeight="1">
      <x:c r="A2" s="1"/>
      <x:c r="B2" s="1"/>
      <x:c r="C2" s="2" t="s">
        <x:v>565</x:v>
      </x:c>
      <x:c r="D2" s="1"/>
      <x:c r="E2" s="1"/>
      <x:c r="F2" s="1"/>
      <x:c r="G2" s="1"/>
      <x:c r="H2" s="1"/>
      <x:c r="I2" s="1"/>
      <x:c r="J2" s="1"/>
    </x:row>
    <x:row r="3" ht="15" hidden="0">
      <x:c r="A3" s="1"/>
      <x:c r="B3" s="1"/>
      <x:c r="C3" s="3"/>
      <x:c r="D3" s="3"/>
      <x:c r="E3" s="3"/>
      <x:c r="F3" s="3"/>
      <x:c r="G3" s="3"/>
      <x:c r="H3" s="3"/>
      <x:c r="I3" s="3"/>
      <x:c r="J3" s="3"/>
    </x:row>
    <x:row r="4" ht="15" hidden="0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23.850000381469727" hidden="0">
      <x:c r="A5" s="1"/>
      <x:c r="B5" s="1"/>
      <x:c r="C5" s="127" t="s">
        <x:v>292</x:v>
      </x:c>
      <x:c r="D5" s="13" t="s">
        <x:v>566</x:v>
      </x:c>
      <x:c r="E5" s="1"/>
      <x:c r="F5" s="1"/>
      <x:c r="G5" s="1"/>
      <x:c r="H5" s="1"/>
      <x:c r="I5" s="1"/>
      <x:c r="J5" s="1"/>
    </x:row>
    <x:row r="6" ht="23.850000381469727" hidden="0">
      <x:c r="A6" s="1"/>
      <x:c r="B6" s="1"/>
      <x:c r="C6" s="128" t="s">
        <x:v>567</x:v>
      </x:c>
      <x:c r="D6" s="15" t="s">
        <x:v>568</x:v>
      </x:c>
      <x:c r="E6" s="1"/>
      <x:c r="F6" s="1"/>
      <x:c r="G6" s="1"/>
      <x:c r="H6" s="1"/>
      <x:c r="I6" s="1"/>
      <x:c r="J6" s="1"/>
    </x:row>
    <x:row r="7" ht="15" hidden="0">
      <x:c r="A7" s="1"/>
      <x:c r="B7" s="1"/>
      <x:c r="C7" s="128" t="s">
        <x:v>569</x:v>
      </x:c>
      <x:c r="D7" s="15" t="str">
        <x:v>Млн м²/год, тыс. покупателей/год, трлн руб./год, остаток и срок реализации запаса.</x:v>
      </x:c>
      <x:c r="E7" s="1"/>
      <x:c r="F7" s="1"/>
      <x:c r="G7" s="1"/>
      <x:c r="H7" s="1"/>
      <x:c r="I7" s="1"/>
      <x:c r="J7" s="1"/>
    </x:row>
    <x:row r="8" ht="15" hidden="0">
      <x:c r="A8" s="1"/>
      <x:c r="B8" s="1"/>
      <x:c r="C8" s="128" t="s">
        <x:v>570</x:v>
      </x:c>
      <x:c r="D8" s="15" t="str">
        <x:v>Базовый / Оптимистичный / Пессимистичный. Единственный селектор находится на листе «Предпосылки».</x:v>
      </x:c>
      <x:c r="E8" s="1"/>
      <x:c r="F8" s="1"/>
      <x:c r="G8" s="1"/>
      <x:c r="H8" s="1"/>
      <x:c r="I8" s="1"/>
      <x:c r="J8" s="1"/>
    </x:row>
    <x:row r="9" ht="15" hidden="0">
      <x:c r="A9" s="1"/>
      <x:c r="B9" s="1"/>
      <x:c r="C9" s="128" t="s">
        <x:v>571</x:v>
      </x:c>
      <x:c r="D9" s="15" t="s">
        <x:v>572</x:v>
      </x:c>
      <x:c r="E9" s="1"/>
      <x:c r="F9" s="1"/>
      <x:c r="G9" s="1"/>
      <x:c r="H9" s="1"/>
      <x:c r="I9" s="1"/>
      <x:c r="J9" s="1"/>
    </x:row>
    <x:row r="10" ht="15" hidden="0">
      <x:c r="A10" s="1"/>
      <x:c r="B10" s="1"/>
      <x:c r="C10" s="128" t="s">
        <x:v>573</x:v>
      </x:c>
      <x:c r="D10" s="15" t="s">
        <x:v>574</x:v>
      </x:c>
      <x:c r="E10" s="1"/>
      <x:c r="F10" s="1"/>
      <x:c r="G10" s="1"/>
      <x:c r="H10" s="1"/>
      <x:c r="I10" s="1"/>
      <x:c r="J10" s="1"/>
    </x:row>
    <x:row r="11" ht="15" hidden="0">
      <x:c r="A11" s="1"/>
      <x:c r="B11" s="1"/>
      <x:c r="C11" s="128" t="s">
        <x:v>575</x:v>
      </x:c>
      <x:c r="D11" s="15" t="s">
        <x:v>576</x:v>
      </x:c>
      <x:c r="E11" s="1"/>
      <x:c r="F11" s="1"/>
      <x:c r="G11" s="1"/>
      <x:c r="H11" s="1"/>
      <x:c r="I11" s="1"/>
      <x:c r="J11" s="1"/>
    </x:row>
    <x:row r="12" ht="23.850000381469727" hidden="0">
      <x:c r="A12" s="1"/>
      <x:c r="B12" s="1"/>
      <x:c r="C12" s="128" t="s">
        <x:v>577</x:v>
      </x:c>
      <x:c r="D12" s="15" t="s">
        <x:v>578</x:v>
      </x:c>
      <x:c r="E12" s="1"/>
      <x:c r="F12" s="1"/>
      <x:c r="G12" s="1"/>
      <x:c r="H12" s="1"/>
      <x:c r="I12" s="1"/>
      <x:c r="J12" s="1"/>
    </x:row>
    <x:row r="13" ht="23.850000381469727" hidden="0">
      <x:c r="A13" s="1"/>
      <x:c r="B13" s="1"/>
      <x:c r="C13" s="128" t="s">
        <x:v>579</x:v>
      </x:c>
      <x:c r="D13" s="15" t="s">
        <x:v>580</x:v>
      </x:c>
      <x:c r="E13" s="1"/>
      <x:c r="F13" s="1"/>
      <x:c r="G13" s="1"/>
      <x:c r="H13" s="1"/>
      <x:c r="I13" s="1"/>
      <x:c r="J13" s="1"/>
    </x:row>
    <x:row r="14" ht="15" hidden="0">
      <x:c r="A14" s="1"/>
      <x:c r="B14" s="1"/>
      <x:c r="C14" s="128" t="s">
        <x:v>581</x:v>
      </x:c>
      <x:c r="D14" s="15" t="s">
        <x:v>582</x:v>
      </x:c>
      <x:c r="E14" s="1"/>
      <x:c r="F14" s="1"/>
      <x:c r="G14" s="1"/>
      <x:c r="H14" s="1"/>
      <x:c r="I14" s="1"/>
      <x:c r="J14" s="1"/>
    </x:row>
    <x:row r="15" ht="23.850000381469727" hidden="0">
      <x:c r="A15" s="1"/>
      <x:c r="B15" s="1"/>
      <x:c r="C15" s="128" t="s">
        <x:v>583</x:v>
      </x:c>
      <x:c r="D15" s="15" t="s">
        <x:v>584</x:v>
      </x:c>
      <x:c r="E15" s="1"/>
      <x:c r="F15" s="1"/>
      <x:c r="G15" s="1"/>
      <x:c r="H15" s="1"/>
      <x:c r="I15" s="1"/>
      <x:c r="J15" s="1"/>
    </x:row>
    <x:row r="16" ht="15" hidden="0">
      <x:c r="A16" s="1"/>
      <x:c r="B16" s="1"/>
      <x:c r="C16" s="128" t="s">
        <x:v>585</x:v>
      </x:c>
      <x:c r="D16" s="129" t="s">
        <x:v>586</x:v>
      </x:c>
      <x:c r="E16" s="1"/>
      <x:c r="F16" s="1"/>
      <x:c r="G16" s="1"/>
      <x:c r="H16" s="1"/>
      <x:c r="I16" s="1"/>
      <x:c r="J16" s="1"/>
    </x:row>
    <x:row r="17" ht="15" hidden="0">
      <x:c r="A17" s="1"/>
      <x:c r="B17" s="1"/>
      <x:c r="C17" s="130" t="s">
        <x:v>587</x:v>
      </x:c>
      <x:c r="D17" s="131" t="s">
        <x:v>588</x:v>
      </x:c>
      <x:c r="E17" s="1"/>
      <x:c r="F17" s="1"/>
      <x:c r="G17" s="1"/>
      <x:c r="H17" s="1"/>
      <x:c r="I17" s="1"/>
      <x:c r="J17" s="1"/>
    </x:row>
    <x:row r="18" ht="15" hidden="0">
      <x:c r="A18" s="1"/>
      <x:c r="B18" s="1"/>
      <x:c r="C18" s="1"/>
      <x:c r="D18" s="1"/>
      <x:c r="E18" s="1"/>
      <x:c r="F18" s="1"/>
      <x:c r="G18" s="1"/>
      <x:c r="H18" s="1"/>
      <x:c r="I18" s="1"/>
      <x:c r="J18" s="1"/>
    </x:row>
    <x:row r="19" ht="15" hidden="0">
      <x:c r="A19" s="1"/>
      <x:c r="B19" s="1"/>
      <x:c r="C19" s="1"/>
      <x:c r="D19" s="1"/>
      <x:c r="E19" s="1"/>
      <x:c r="F19" s="1"/>
      <x:c r="G19" s="1"/>
      <x:c r="H19" s="1"/>
      <x:c r="I19" s="1"/>
      <x:c r="J19" s="1"/>
    </x:row>
    <x:row r="20" ht="21" hidden="0" customHeight="1">
      <x:c r="A20" s="1"/>
      <x:c r="B20" s="1"/>
      <x:c r="C20" s="11" t="s">
        <x:v>589</x:v>
      </x:c>
      <x:c r="D20" s="11"/>
      <x:c r="E20" s="11"/>
      <x:c r="F20" s="11"/>
      <x:c r="G20" s="11"/>
      <x:c r="H20" s="11"/>
      <x:c r="I20" s="11"/>
      <x:c r="J20" s="11"/>
    </x:row>
    <x:row r="21" ht="15" hidden="0">
      <x:c r="A21" s="1"/>
      <x:c r="B21" s="1"/>
      <x:c r="C21" s="12" t="s">
        <x:v>590</x:v>
      </x:c>
      <x:c r="D21" s="13" t="s">
        <x:v>591</x:v>
      </x:c>
      <x:c r="E21" s="1"/>
      <x:c r="F21" s="1"/>
      <x:c r="G21" s="1"/>
      <x:c r="H21" s="1"/>
      <x:c r="I21" s="1"/>
      <x:c r="J21" s="1"/>
    </x:row>
    <x:row r="22" ht="15" hidden="0">
      <x:c r="A22" s="1"/>
      <x:c r="B22" s="1"/>
      <x:c r="C22" s="14" t="s">
        <x:v>592</x:v>
      </x:c>
      <x:c r="D22" s="15" t="s">
        <x:v>593</x:v>
      </x:c>
      <x:c r="E22" s="1"/>
      <x:c r="F22" s="1"/>
      <x:c r="G22" s="1"/>
      <x:c r="H22" s="1"/>
      <x:c r="I22" s="1"/>
      <x:c r="J22" s="1"/>
    </x:row>
    <x:row r="23" ht="15" hidden="0">
      <x:c r="A23" s="1"/>
      <x:c r="B23" s="1"/>
      <x:c r="C23" s="14" t="s">
        <x:v>65</x:v>
      </x:c>
      <x:c r="D23" s="15" t="s">
        <x:v>594</x:v>
      </x:c>
      <x:c r="E23" s="1"/>
      <x:c r="F23" s="1"/>
      <x:c r="G23" s="1"/>
      <x:c r="H23" s="1"/>
      <x:c r="I23" s="1"/>
      <x:c r="J23" s="1"/>
    </x:row>
    <x:row r="24" ht="15" hidden="0">
      <x:c r="A24" s="1"/>
      <x:c r="B24" s="1"/>
      <x:c r="C24" s="14" t="s">
        <x:v>18</x:v>
      </x:c>
      <x:c r="D24" s="15" t="s">
        <x:v>595</x:v>
      </x:c>
      <x:c r="E24" s="1"/>
      <x:c r="F24" s="1"/>
      <x:c r="G24" s="1"/>
      <x:c r="H24" s="1"/>
      <x:c r="I24" s="1"/>
      <x:c r="J24" s="1"/>
    </x:row>
    <x:row r="25" ht="15" hidden="0">
      <x:c r="A25" s="1"/>
      <x:c r="B25" s="1"/>
      <x:c r="C25" s="14" t="str">
        <x:v>Остаточный спрос</x:v>
      </x:c>
      <x:c r="D25" s="15" t="s">
        <x:v>596</x:v>
      </x:c>
      <x:c r="E25" s="1"/>
      <x:c r="F25" s="1"/>
      <x:c r="G25" s="1"/>
      <x:c r="H25" s="1"/>
      <x:c r="I25" s="1"/>
      <x:c r="J25" s="1"/>
    </x:row>
    <x:row r="26" ht="15" hidden="0">
      <x:c r="A26" s="1"/>
      <x:c r="B26" s="1"/>
      <x:c r="C26" s="14" t="str">
        <x:v>Срок реализации запаса</x:v>
      </x:c>
      <x:c r="D26" s="15" t="s">
        <x:v>597</x:v>
      </x:c>
      <x:c r="E26" s="1"/>
      <x:c r="F26" s="1"/>
      <x:c r="G26" s="1"/>
      <x:c r="H26" s="1"/>
      <x:c r="I26" s="1"/>
      <x:c r="J26" s="1"/>
    </x:row>
    <x:row r="27" ht="15" hidden="0">
      <x:c r="A27" s="1"/>
      <x:c r="B27" s="1"/>
      <x:c r="C27" s="16" t="s">
        <x:v>598</x:v>
      </x:c>
      <x:c r="D27" s="17" t="s">
        <x:v>599</x:v>
      </x:c>
      <x:c r="E27" s="1"/>
      <x:c r="F27" s="1"/>
      <x:c r="G27" s="1"/>
      <x:c r="H27" s="1"/>
      <x:c r="I27" s="1"/>
      <x:c r="J27" s="1"/>
    </x:row>
    <x:row r="28" ht="15" hidden="0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 ht="60" hidden="0" customHeight="1">
      <x:c r="A29" s="1"/>
      <x:c r="B29" s="1"/>
      <x:c r="C29" s="53" t="s">
        <x:v>600</x:v>
      </x:c>
      <x:c r="D29" s="64" t="str">
        <x:v>Калиброванная кривая эффективного спроса сохранена без изменений: она является ручным вводом автора исследования и не связана формулой с медианным доходом. Показатель доли домохозяйств, проходящих порог доступности, исключён из публичной версии как недостаточно подтверждённый. Подробности — листы «Предпосылки», «Ипотека», «Аудит и KPI».</x:v>
      </x:c>
      <x:c r="E29" s="64"/>
      <x:c r="F29" s="64"/>
      <x:c r="G29" s="64"/>
      <x:c r="H29" s="64"/>
      <x:c r="I29" s="64"/>
      <x:c r="J29" s="64"/>
    </x:row>
    <x:row r="30" ht="15" hidden="0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  <x:row r="31" ht="15" hidden="0">
      <x:c r="A31" s="1"/>
      <x:c r="B31" s="1"/>
      <x:c r="C31" s="1"/>
      <x:c r="D31" s="1"/>
      <x:c r="E31" s="1"/>
      <x:c r="F31" s="1"/>
      <x:c r="G31" s="1"/>
      <x:c r="H31" s="1"/>
      <x:c r="I31" s="1"/>
      <x:c r="J31" s="1"/>
    </x:row>
    <x:row r="32" ht="15" hidden="0">
      <x:c r="A32" s="1"/>
      <x:c r="B32" s="1"/>
      <x:c r="C32" s="1"/>
      <x:c r="D32" s="1"/>
      <x:c r="E32" s="1"/>
      <x:c r="F32" s="1"/>
      <x:c r="G32" s="1"/>
      <x:c r="H32" s="1"/>
      <x:c r="I32" s="1"/>
      <x:c r="J32" s="1"/>
    </x:row>
    <x:row r="33" ht="15" hidden="0">
      <x:c r="A33" s="1"/>
      <x:c r="B33" s="1"/>
      <x:c r="C33" s="1"/>
      <x:c r="D33" s="1"/>
      <x:c r="E33" s="1"/>
      <x:c r="F33" s="1"/>
      <x:c r="G33" s="1"/>
      <x:c r="H33" s="1"/>
      <x:c r="I33" s="1"/>
      <x:c r="J33" s="1"/>
    </x:row>
    <x:row r="34" ht="15" hidden="0">
      <x:c r="A34" s="1"/>
      <x:c r="B34" s="1"/>
      <x:c r="C34" s="1"/>
      <x:c r="D34" s="1"/>
      <x:c r="E34" s="1"/>
      <x:c r="F34" s="1"/>
      <x:c r="G34" s="1"/>
      <x:c r="H34" s="1"/>
      <x:c r="I34" s="1"/>
      <x:c r="J34" s="1"/>
    </x:row>
    <x:row r="35" ht="15" hidden="0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 ht="15" hidden="0">
      <x:c r="A36" s="1"/>
      <x:c r="B36" s="1"/>
      <x:c r="C36" s="1"/>
      <x:c r="D36" s="1"/>
      <x:c r="E36" s="1"/>
      <x:c r="F36" s="1"/>
      <x:c r="G36" s="1"/>
      <x:c r="H36" s="1"/>
      <x:c r="I36" s="1"/>
      <x:c r="J36" s="1"/>
    </x:row>
    <x:row r="37" ht="15" hidden="0">
      <x:c r="A37" s="1"/>
      <x:c r="B37" s="1"/>
      <x:c r="C37" s="1"/>
      <x:c r="D37" s="1"/>
      <x:c r="E37" s="1"/>
      <x:c r="F37" s="1"/>
      <x:c r="G37" s="1"/>
      <x:c r="H37" s="1"/>
      <x:c r="I37" s="1"/>
      <x:c r="J37" s="1"/>
    </x:row>
    <x:row r="38" ht="15" hidden="0">
      <x:c r="A38" s="1"/>
      <x:c r="B38" s="1"/>
      <x:c r="C38" s="1"/>
      <x:c r="D38" s="1"/>
      <x:c r="E38" s="1"/>
      <x:c r="F38" s="1"/>
      <x:c r="G38" s="1"/>
      <x:c r="H38" s="1"/>
      <x:c r="I38" s="1"/>
      <x:c r="J38" s="1"/>
    </x:row>
    <x:row r="39" ht="15" hidden="0">
      <x:c r="A39" s="1"/>
      <x:c r="B39" s="1"/>
      <x:c r="C39" s="1"/>
      <x:c r="D39" s="1"/>
      <x:c r="E39" s="1"/>
      <x:c r="F39" s="1"/>
      <x:c r="G39" s="1"/>
      <x:c r="H39" s="1"/>
      <x:c r="I39" s="1"/>
      <x:c r="J39" s="1"/>
    </x:row>
    <x:row r="40" ht="15" hidden="0">
      <x:c r="A40" s="1"/>
      <x:c r="B40" s="1"/>
      <x:c r="C40" s="1"/>
      <x:c r="D40" s="1"/>
      <x:c r="E40" s="1"/>
      <x:c r="F40" s="1"/>
      <x:c r="G40" s="1"/>
      <x:c r="H40" s="1"/>
      <x:c r="I40" s="1"/>
      <x:c r="J40" s="1"/>
    </x:row>
  </x:sheetData>
  <x:mergeCells>
    <x:mergeCell ref="D29:J29"/>
  </x:mergeCells>
  <x:pageMargins left="0.7" right="0.7" top="0.75" bottom="0.75" header="0.3" footer="0.3"/>
</x:worksheet>
</file>